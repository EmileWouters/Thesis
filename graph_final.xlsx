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ute\Documents\Tu Delft\Thesis\"/>
    </mc:Choice>
  </mc:AlternateContent>
  <xr:revisionPtr revIDLastSave="0" documentId="13_ncr:1_{2B79FAF1-E58B-4542-A731-A7252D62A541}" xr6:coauthVersionLast="47" xr6:coauthVersionMax="47" xr10:uidLastSave="{00000000-0000-0000-0000-000000000000}"/>
  <bookViews>
    <workbookView xWindow="-108" yWindow="-108" windowWidth="23256" windowHeight="13896" activeTab="1" xr2:uid="{0C4A89F7-C0ED-45C0-BEFA-665F041B7837}"/>
  </bookViews>
  <sheets>
    <sheet name="Nodes" sheetId="1" r:id="rId1"/>
    <sheet name="Edges" sheetId="2" r:id="rId2"/>
    <sheet name="Edges_night" sheetId="4" r:id="rId3"/>
    <sheet name="Demand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24" i="2" l="1"/>
  <c r="BZ3" i="3"/>
  <c r="BZ2" i="3"/>
  <c r="BZ4" i="3"/>
  <c r="BZ5" i="3"/>
  <c r="BZ6" i="3"/>
  <c r="BZ12" i="3" s="1"/>
  <c r="BZ7" i="3"/>
  <c r="BZ8" i="3"/>
  <c r="BZ9" i="3"/>
  <c r="BZ10" i="3"/>
  <c r="BY3" i="3"/>
  <c r="BY4" i="3"/>
  <c r="BY5" i="3"/>
  <c r="BY6" i="3"/>
  <c r="BY7" i="3"/>
  <c r="BY8" i="3"/>
  <c r="BY9" i="3"/>
  <c r="BY10" i="3"/>
  <c r="BY2" i="3"/>
  <c r="BY11" i="3" s="1"/>
  <c r="BX9" i="3"/>
  <c r="BX3" i="3"/>
  <c r="BX4" i="3"/>
  <c r="BX5" i="3"/>
  <c r="BX6" i="3"/>
  <c r="BX7" i="3"/>
  <c r="BX8" i="3"/>
  <c r="BX12" i="3" s="1"/>
  <c r="BX10" i="3"/>
  <c r="BX2" i="3"/>
  <c r="BX11" i="3" s="1"/>
  <c r="BW3" i="3"/>
  <c r="BW4" i="3"/>
  <c r="BW5" i="3"/>
  <c r="BW6" i="3"/>
  <c r="BW7" i="3"/>
  <c r="BW8" i="3"/>
  <c r="BW9" i="3"/>
  <c r="BW10" i="3"/>
  <c r="BW2" i="3"/>
  <c r="BV3" i="3"/>
  <c r="BV4" i="3"/>
  <c r="BV5" i="3"/>
  <c r="BV6" i="3"/>
  <c r="BV7" i="3"/>
  <c r="BV8" i="3"/>
  <c r="BV9" i="3"/>
  <c r="BV10" i="3"/>
  <c r="BV12" i="3" s="1"/>
  <c r="BV2" i="3"/>
  <c r="BS2" i="3"/>
  <c r="BS11" i="3" s="1"/>
  <c r="BR2" i="3"/>
  <c r="BU3" i="3"/>
  <c r="BU4" i="3"/>
  <c r="BU5" i="3"/>
  <c r="BU11" i="3" s="1"/>
  <c r="BU6" i="3"/>
  <c r="BU7" i="3"/>
  <c r="BU8" i="3"/>
  <c r="BU9" i="3"/>
  <c r="BU10" i="3"/>
  <c r="BU2" i="3"/>
  <c r="BY12" i="3"/>
  <c r="BW12" i="3"/>
  <c r="BU12" i="3"/>
  <c r="BZ11" i="3"/>
  <c r="BW11" i="3"/>
  <c r="BV11" i="3"/>
  <c r="BP11" i="3"/>
  <c r="BQ11" i="3"/>
  <c r="BR11" i="3"/>
  <c r="BT11" i="3"/>
  <c r="BP12" i="3"/>
  <c r="BQ12" i="3"/>
  <c r="BR12" i="3"/>
  <c r="BS12" i="3"/>
  <c r="BT12" i="3"/>
  <c r="BT3" i="3"/>
  <c r="BT4" i="3"/>
  <c r="BT5" i="3"/>
  <c r="BT6" i="3"/>
  <c r="BT7" i="3"/>
  <c r="BT8" i="3"/>
  <c r="BT9" i="3"/>
  <c r="BT10" i="3"/>
  <c r="BT2" i="3"/>
  <c r="BS3" i="3"/>
  <c r="BS4" i="3"/>
  <c r="BS5" i="3"/>
  <c r="BS6" i="3"/>
  <c r="BS7" i="3"/>
  <c r="BS8" i="3"/>
  <c r="BS9" i="3"/>
  <c r="BS10" i="3"/>
  <c r="BR3" i="3"/>
  <c r="BR4" i="3"/>
  <c r="BR5" i="3"/>
  <c r="BR6" i="3"/>
  <c r="BR7" i="3"/>
  <c r="BR8" i="3"/>
  <c r="BR9" i="3"/>
  <c r="BR10" i="3"/>
  <c r="BP3" i="3"/>
  <c r="BP4" i="3"/>
  <c r="BP5" i="3"/>
  <c r="BP6" i="3"/>
  <c r="BP7" i="3"/>
  <c r="BP8" i="3"/>
  <c r="BP9" i="3"/>
  <c r="BP10" i="3"/>
  <c r="BP2" i="3"/>
  <c r="F8" i="3"/>
  <c r="BE11" i="3"/>
  <c r="BE12" i="3"/>
  <c r="BD12" i="3"/>
  <c r="BB12" i="3"/>
  <c r="BA12" i="3"/>
  <c r="AZ12" i="3"/>
  <c r="BD11" i="3"/>
  <c r="BB11" i="3"/>
  <c r="BA11" i="3"/>
  <c r="AZ11" i="3"/>
  <c r="BD10" i="3"/>
  <c r="BD9" i="3"/>
  <c r="BD8" i="3"/>
  <c r="BD7" i="3"/>
  <c r="BD6" i="3"/>
  <c r="BD5" i="3"/>
  <c r="BD4" i="3"/>
  <c r="BD3" i="3"/>
  <c r="BD2" i="3"/>
  <c r="BJ11" i="3"/>
  <c r="BK11" i="3"/>
  <c r="BL11" i="3"/>
  <c r="BM11" i="3"/>
  <c r="BJ12" i="3"/>
  <c r="BK12" i="3"/>
  <c r="BL12" i="3"/>
  <c r="BM12" i="3"/>
  <c r="BF11" i="3"/>
  <c r="BG11" i="3"/>
  <c r="BH11" i="3"/>
  <c r="BF12" i="3"/>
  <c r="BG12" i="3"/>
  <c r="BH12" i="3"/>
  <c r="AU11" i="3"/>
  <c r="AV11" i="3"/>
  <c r="AW11" i="3"/>
  <c r="AX11" i="3"/>
  <c r="AU12" i="3"/>
  <c r="AV12" i="3"/>
  <c r="AW12" i="3"/>
  <c r="AX12" i="3"/>
  <c r="AY3" i="3"/>
  <c r="AY4" i="3"/>
  <c r="AY5" i="3"/>
  <c r="AY6" i="3"/>
  <c r="AY7" i="3"/>
  <c r="AY8" i="3"/>
  <c r="AY9" i="3"/>
  <c r="AY10" i="3"/>
  <c r="AY2" i="3"/>
  <c r="BN6" i="3"/>
  <c r="AN12" i="3"/>
  <c r="AM12" i="3"/>
  <c r="AL12" i="3"/>
  <c r="AK12" i="3"/>
  <c r="AN11" i="3"/>
  <c r="AM11" i="3"/>
  <c r="AL11" i="3"/>
  <c r="AK11" i="3"/>
  <c r="AO10" i="3"/>
  <c r="AO9" i="3"/>
  <c r="AO8" i="3"/>
  <c r="AO7" i="3"/>
  <c r="AO6" i="3"/>
  <c r="AO5" i="3"/>
  <c r="AO4" i="3"/>
  <c r="AO3" i="3"/>
  <c r="AO2" i="3"/>
  <c r="AJ12" i="3"/>
  <c r="AJ11" i="3"/>
  <c r="AG2" i="3"/>
  <c r="AG10" i="3"/>
  <c r="AG9" i="3"/>
  <c r="AG8" i="3"/>
  <c r="AG7" i="3"/>
  <c r="AG6" i="3"/>
  <c r="AG5" i="3"/>
  <c r="AG4" i="3"/>
  <c r="AG3" i="3"/>
  <c r="AF11" i="3"/>
  <c r="AF12" i="3"/>
  <c r="AC3" i="3"/>
  <c r="AC4" i="3"/>
  <c r="AC5" i="3"/>
  <c r="AC6" i="3"/>
  <c r="AC7" i="3"/>
  <c r="AC8" i="3"/>
  <c r="AC9" i="3"/>
  <c r="AC10" i="3"/>
  <c r="AC2" i="3"/>
  <c r="H12" i="3"/>
  <c r="F10" i="3"/>
  <c r="F9" i="3"/>
  <c r="F7" i="3"/>
  <c r="F6" i="3"/>
  <c r="F5" i="3"/>
  <c r="F4" i="3"/>
  <c r="F3" i="3"/>
  <c r="F2" i="3"/>
  <c r="J45" i="4"/>
  <c r="J105" i="4"/>
  <c r="J44" i="4"/>
  <c r="J26" i="4"/>
  <c r="J18" i="4"/>
  <c r="J39" i="4"/>
  <c r="J43" i="4"/>
  <c r="M13" i="4"/>
  <c r="BC12" i="3" l="1"/>
  <c r="BC11" i="3"/>
  <c r="AY11" i="3"/>
  <c r="AY12" i="3"/>
  <c r="AO12" i="3"/>
  <c r="AO11" i="3"/>
  <c r="AG11" i="3"/>
  <c r="AG12" i="3"/>
  <c r="AC12" i="3"/>
  <c r="AC11" i="3"/>
  <c r="I6" i="3" l="1"/>
  <c r="BI10" i="3" l="1"/>
  <c r="BI9" i="3"/>
  <c r="BI8" i="3"/>
  <c r="BI7" i="3"/>
  <c r="BI6" i="3"/>
  <c r="BI5" i="3"/>
  <c r="BI4" i="3"/>
  <c r="BI3" i="3"/>
  <c r="BI2" i="3"/>
  <c r="BI11" i="3" s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2" i="2"/>
  <c r="BN10" i="3"/>
  <c r="BN9" i="3"/>
  <c r="BN8" i="3"/>
  <c r="BN7" i="3"/>
  <c r="BN5" i="3"/>
  <c r="BN4" i="3"/>
  <c r="BN3" i="3"/>
  <c r="BN2" i="3"/>
  <c r="BN11" i="3" l="1"/>
  <c r="BI12" i="3"/>
  <c r="BN12" i="3"/>
  <c r="L141" i="2" l="1"/>
  <c r="B138" i="2"/>
  <c r="B137" i="2"/>
  <c r="B136" i="2"/>
  <c r="B135" i="2"/>
  <c r="M72" i="4"/>
  <c r="J7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N94" i="4" s="1"/>
  <c r="O94" i="4" s="1"/>
  <c r="P94" i="4" s="1"/>
  <c r="M93" i="4"/>
  <c r="M92" i="4"/>
  <c r="M91" i="4"/>
  <c r="N91" i="4" s="1"/>
  <c r="O91" i="4" s="1"/>
  <c r="P91" i="4" s="1"/>
  <c r="M90" i="4"/>
  <c r="M89" i="4"/>
  <c r="N89" i="4" s="1"/>
  <c r="O89" i="4" s="1"/>
  <c r="P89" i="4" s="1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N74" i="4" s="1"/>
  <c r="O74" i="4" s="1"/>
  <c r="P74" i="4" s="1"/>
  <c r="M73" i="4"/>
  <c r="N73" i="4" s="1"/>
  <c r="O73" i="4" s="1"/>
  <c r="P73" i="4" s="1"/>
  <c r="M71" i="4"/>
  <c r="N71" i="4" s="1"/>
  <c r="O71" i="4" s="1"/>
  <c r="P71" i="4" s="1"/>
  <c r="M70" i="4"/>
  <c r="M69" i="4"/>
  <c r="M68" i="4"/>
  <c r="M67" i="4"/>
  <c r="M66" i="4"/>
  <c r="M65" i="4"/>
  <c r="M64" i="4"/>
  <c r="M63" i="4"/>
  <c r="M18" i="4"/>
  <c r="M16" i="4"/>
  <c r="X2" i="4"/>
  <c r="M3" i="4"/>
  <c r="M4" i="4"/>
  <c r="M5" i="4"/>
  <c r="M6" i="4"/>
  <c r="M7" i="4"/>
  <c r="M8" i="4"/>
  <c r="M9" i="4"/>
  <c r="M10" i="4"/>
  <c r="M11" i="4"/>
  <c r="M12" i="4"/>
  <c r="N12" i="4" s="1"/>
  <c r="O12" i="4" s="1"/>
  <c r="P12" i="4" s="1"/>
  <c r="M14" i="4"/>
  <c r="N14" i="4" s="1"/>
  <c r="O14" i="4" s="1"/>
  <c r="P14" i="4" s="1"/>
  <c r="M15" i="4"/>
  <c r="N15" i="4" s="1"/>
  <c r="O15" i="4" s="1"/>
  <c r="P15" i="4" s="1"/>
  <c r="M17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N32" i="4" s="1"/>
  <c r="O32" i="4" s="1"/>
  <c r="P32" i="4" s="1"/>
  <c r="M33" i="4"/>
  <c r="M34" i="4"/>
  <c r="N34" i="4" s="1"/>
  <c r="O34" i="4" s="1"/>
  <c r="P34" i="4" s="1"/>
  <c r="M35" i="4"/>
  <c r="N35" i="4" s="1"/>
  <c r="O35" i="4" s="1"/>
  <c r="P35" i="4" s="1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N54" i="4" s="1"/>
  <c r="O54" i="4" s="1"/>
  <c r="P54" i="4" s="1"/>
  <c r="M55" i="4"/>
  <c r="M56" i="4"/>
  <c r="N56" i="4" s="1"/>
  <c r="O56" i="4" s="1"/>
  <c r="P56" i="4" s="1"/>
  <c r="M57" i="4"/>
  <c r="M58" i="4"/>
  <c r="M59" i="4"/>
  <c r="M60" i="4"/>
  <c r="M61" i="4"/>
  <c r="M62" i="4"/>
  <c r="M2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57" i="4"/>
  <c r="J53" i="4"/>
  <c r="J51" i="4"/>
  <c r="J49" i="4"/>
  <c r="J37" i="4"/>
  <c r="J31" i="4"/>
  <c r="J28" i="4"/>
  <c r="J25" i="4"/>
  <c r="J23" i="4"/>
  <c r="J20" i="4"/>
  <c r="J5" i="4"/>
  <c r="J6" i="4"/>
  <c r="J8" i="4"/>
  <c r="J9" i="4"/>
  <c r="J10" i="4"/>
  <c r="J11" i="4"/>
  <c r="J12" i="4"/>
  <c r="J13" i="4"/>
  <c r="J14" i="4"/>
  <c r="J15" i="4"/>
  <c r="J16" i="4"/>
  <c r="J17" i="4"/>
  <c r="J19" i="4"/>
  <c r="J21" i="4"/>
  <c r="J22" i="4"/>
  <c r="J24" i="4"/>
  <c r="J27" i="4"/>
  <c r="J29" i="4"/>
  <c r="J30" i="4"/>
  <c r="J32" i="4"/>
  <c r="J35" i="4"/>
  <c r="J36" i="4"/>
  <c r="J40" i="4"/>
  <c r="J41" i="4"/>
  <c r="J42" i="4"/>
  <c r="J46" i="4"/>
  <c r="J47" i="4"/>
  <c r="J48" i="4"/>
  <c r="J50" i="4"/>
  <c r="J52" i="4"/>
  <c r="J54" i="4"/>
  <c r="J55" i="4"/>
  <c r="J56" i="4"/>
  <c r="J58" i="4"/>
  <c r="J59" i="4"/>
  <c r="J60" i="4"/>
  <c r="J2" i="4"/>
  <c r="N38" i="4" l="1"/>
  <c r="O38" i="4" s="1"/>
  <c r="P38" i="4" s="1"/>
  <c r="N20" i="4"/>
  <c r="O20" i="4" s="1"/>
  <c r="P20" i="4" s="1"/>
  <c r="N13" i="4"/>
  <c r="O13" i="4" s="1"/>
  <c r="P13" i="4" s="1"/>
  <c r="N111" i="4"/>
  <c r="O111" i="4" s="1"/>
  <c r="P111" i="4" s="1"/>
  <c r="N97" i="4"/>
  <c r="O97" i="4" s="1"/>
  <c r="P97" i="4" s="1"/>
  <c r="N123" i="4"/>
  <c r="O123" i="4" s="1"/>
  <c r="P123" i="4" s="1"/>
  <c r="N37" i="4"/>
  <c r="O37" i="4" s="1"/>
  <c r="P37" i="4" s="1"/>
  <c r="N77" i="4"/>
  <c r="O77" i="4" s="1"/>
  <c r="P77" i="4" s="1"/>
  <c r="N79" i="4"/>
  <c r="O79" i="4" s="1"/>
  <c r="P79" i="4" s="1"/>
  <c r="N115" i="4"/>
  <c r="O115" i="4" s="1"/>
  <c r="P115" i="4" s="1"/>
  <c r="N98" i="4"/>
  <c r="O98" i="4" s="1"/>
  <c r="P98" i="4" s="1"/>
  <c r="N50" i="4"/>
  <c r="O50" i="4" s="1"/>
  <c r="P50" i="4" s="1"/>
  <c r="N49" i="4"/>
  <c r="O49" i="4" s="1"/>
  <c r="P49" i="4" s="1"/>
  <c r="N119" i="4"/>
  <c r="O119" i="4" s="1"/>
  <c r="P119" i="4" s="1"/>
  <c r="N84" i="4"/>
  <c r="O84" i="4" s="1"/>
  <c r="P84" i="4" s="1"/>
  <c r="N8" i="4"/>
  <c r="O8" i="4" s="1"/>
  <c r="P8" i="4" s="1"/>
  <c r="N103" i="4"/>
  <c r="O103" i="4" s="1"/>
  <c r="P103" i="4" s="1"/>
  <c r="N104" i="4"/>
  <c r="O104" i="4" s="1"/>
  <c r="P104" i="4" s="1"/>
  <c r="N61" i="4"/>
  <c r="O61" i="4" s="1"/>
  <c r="P61" i="4" s="1"/>
  <c r="N93" i="4"/>
  <c r="O93" i="4" s="1"/>
  <c r="P93" i="4" s="1"/>
  <c r="N19" i="4"/>
  <c r="O19" i="4" s="1"/>
  <c r="P19" i="4" s="1"/>
  <c r="N112" i="4"/>
  <c r="O112" i="4" s="1"/>
  <c r="P112" i="4" s="1"/>
  <c r="N17" i="4"/>
  <c r="O17" i="4" s="1"/>
  <c r="P17" i="4" s="1"/>
  <c r="N113" i="4"/>
  <c r="O113" i="4" s="1"/>
  <c r="P113" i="4" s="1"/>
  <c r="N96" i="4"/>
  <c r="O96" i="4" s="1"/>
  <c r="P96" i="4" s="1"/>
  <c r="N114" i="4"/>
  <c r="O114" i="4" s="1"/>
  <c r="P114" i="4" s="1"/>
  <c r="N33" i="4"/>
  <c r="O33" i="4" s="1"/>
  <c r="P33" i="4" s="1"/>
  <c r="N16" i="4"/>
  <c r="O16" i="4" s="1"/>
  <c r="P16" i="4" s="1"/>
  <c r="N116" i="4"/>
  <c r="O116" i="4" s="1"/>
  <c r="P116" i="4" s="1"/>
  <c r="N18" i="4"/>
  <c r="O18" i="4" s="1"/>
  <c r="P18" i="4" s="1"/>
  <c r="N117" i="4"/>
  <c r="O117" i="4" s="1"/>
  <c r="P117" i="4" s="1"/>
  <c r="N63" i="4"/>
  <c r="O63" i="4" s="1"/>
  <c r="P63" i="4" s="1"/>
  <c r="N118" i="4"/>
  <c r="O118" i="4" s="1"/>
  <c r="P118" i="4" s="1"/>
  <c r="N48" i="4"/>
  <c r="O48" i="4" s="1"/>
  <c r="P48" i="4" s="1"/>
  <c r="N64" i="4"/>
  <c r="O64" i="4" s="1"/>
  <c r="P64" i="4" s="1"/>
  <c r="N9" i="4"/>
  <c r="O9" i="4" s="1"/>
  <c r="P9" i="4" s="1"/>
  <c r="N120" i="4"/>
  <c r="O120" i="4" s="1"/>
  <c r="P120" i="4" s="1"/>
  <c r="N28" i="4"/>
  <c r="O28" i="4" s="1"/>
  <c r="P28" i="4" s="1"/>
  <c r="N85" i="4"/>
  <c r="O85" i="4" s="1"/>
  <c r="P85" i="4" s="1"/>
  <c r="N121" i="4"/>
  <c r="O121" i="4" s="1"/>
  <c r="P121" i="4" s="1"/>
  <c r="N2" i="4"/>
  <c r="O2" i="4" s="1"/>
  <c r="P2" i="4" s="1"/>
  <c r="N27" i="4"/>
  <c r="O27" i="4" s="1"/>
  <c r="P27" i="4" s="1"/>
  <c r="N7" i="4"/>
  <c r="O7" i="4" s="1"/>
  <c r="P7" i="4" s="1"/>
  <c r="N67" i="4"/>
  <c r="O67" i="4" s="1"/>
  <c r="P67" i="4" s="1"/>
  <c r="N86" i="4"/>
  <c r="O86" i="4" s="1"/>
  <c r="P86" i="4" s="1"/>
  <c r="N122" i="4"/>
  <c r="O122" i="4" s="1"/>
  <c r="P122" i="4" s="1"/>
  <c r="N62" i="4"/>
  <c r="O62" i="4" s="1"/>
  <c r="P62" i="4" s="1"/>
  <c r="N44" i="4"/>
  <c r="O44" i="4" s="1"/>
  <c r="P44" i="4" s="1"/>
  <c r="N26" i="4"/>
  <c r="O26" i="4" s="1"/>
  <c r="P26" i="4" s="1"/>
  <c r="N6" i="4"/>
  <c r="O6" i="4" s="1"/>
  <c r="P6" i="4" s="1"/>
  <c r="N68" i="4"/>
  <c r="O68" i="4" s="1"/>
  <c r="P68" i="4" s="1"/>
  <c r="N87" i="4"/>
  <c r="O87" i="4" s="1"/>
  <c r="P87" i="4" s="1"/>
  <c r="N105" i="4"/>
  <c r="O105" i="4" s="1"/>
  <c r="P105" i="4" s="1"/>
  <c r="N43" i="4"/>
  <c r="O43" i="4" s="1"/>
  <c r="P43" i="4" s="1"/>
  <c r="N25" i="4"/>
  <c r="O25" i="4" s="1"/>
  <c r="P25" i="4" s="1"/>
  <c r="N5" i="4"/>
  <c r="O5" i="4" s="1"/>
  <c r="P5" i="4" s="1"/>
  <c r="N69" i="4"/>
  <c r="O69" i="4" s="1"/>
  <c r="P69" i="4" s="1"/>
  <c r="N88" i="4"/>
  <c r="O88" i="4" s="1"/>
  <c r="P88" i="4" s="1"/>
  <c r="N106" i="4"/>
  <c r="O106" i="4" s="1"/>
  <c r="P106" i="4" s="1"/>
  <c r="N60" i="4"/>
  <c r="O60" i="4" s="1"/>
  <c r="P60" i="4" s="1"/>
  <c r="N42" i="4"/>
  <c r="O42" i="4" s="1"/>
  <c r="P42" i="4" s="1"/>
  <c r="N24" i="4"/>
  <c r="O24" i="4" s="1"/>
  <c r="P24" i="4" s="1"/>
  <c r="N4" i="4"/>
  <c r="O4" i="4" s="1"/>
  <c r="P4" i="4" s="1"/>
  <c r="N70" i="4"/>
  <c r="O70" i="4" s="1"/>
  <c r="P70" i="4" s="1"/>
  <c r="N107" i="4"/>
  <c r="O107" i="4" s="1"/>
  <c r="P107" i="4" s="1"/>
  <c r="N72" i="4"/>
  <c r="O72" i="4" s="1"/>
  <c r="P72" i="4" s="1"/>
  <c r="N55" i="4"/>
  <c r="O55" i="4" s="1"/>
  <c r="P55" i="4" s="1"/>
  <c r="N76" i="4"/>
  <c r="O76" i="4" s="1"/>
  <c r="P76" i="4" s="1"/>
  <c r="N51" i="4"/>
  <c r="O51" i="4" s="1"/>
  <c r="P51" i="4" s="1"/>
  <c r="N80" i="4"/>
  <c r="O80" i="4" s="1"/>
  <c r="P80" i="4" s="1"/>
  <c r="N81" i="4"/>
  <c r="O81" i="4" s="1"/>
  <c r="P81" i="4" s="1"/>
  <c r="N31" i="4"/>
  <c r="O31" i="4" s="1"/>
  <c r="P31" i="4" s="1"/>
  <c r="N82" i="4"/>
  <c r="O82" i="4" s="1"/>
  <c r="P82" i="4" s="1"/>
  <c r="N30" i="4"/>
  <c r="O30" i="4" s="1"/>
  <c r="P30" i="4" s="1"/>
  <c r="N83" i="4"/>
  <c r="O83" i="4" s="1"/>
  <c r="P83" i="4" s="1"/>
  <c r="N29" i="4"/>
  <c r="O29" i="4" s="1"/>
  <c r="P29" i="4" s="1"/>
  <c r="N102" i="4"/>
  <c r="O102" i="4" s="1"/>
  <c r="P102" i="4" s="1"/>
  <c r="N46" i="4"/>
  <c r="O46" i="4" s="1"/>
  <c r="P46" i="4" s="1"/>
  <c r="N41" i="4"/>
  <c r="O41" i="4" s="1"/>
  <c r="P41" i="4" s="1"/>
  <c r="N3" i="4"/>
  <c r="O3" i="4" s="1"/>
  <c r="P3" i="4" s="1"/>
  <c r="N108" i="4"/>
  <c r="O108" i="4" s="1"/>
  <c r="P108" i="4" s="1"/>
  <c r="N58" i="4"/>
  <c r="O58" i="4" s="1"/>
  <c r="P58" i="4" s="1"/>
  <c r="N40" i="4"/>
  <c r="O40" i="4" s="1"/>
  <c r="P40" i="4" s="1"/>
  <c r="N22" i="4"/>
  <c r="O22" i="4" s="1"/>
  <c r="P22" i="4" s="1"/>
  <c r="N109" i="4"/>
  <c r="O109" i="4" s="1"/>
  <c r="P109" i="4" s="1"/>
  <c r="N75" i="4"/>
  <c r="O75" i="4" s="1"/>
  <c r="P75" i="4" s="1"/>
  <c r="N36" i="4"/>
  <c r="O36" i="4" s="1"/>
  <c r="P36" i="4" s="1"/>
  <c r="N95" i="4"/>
  <c r="O95" i="4" s="1"/>
  <c r="P95" i="4" s="1"/>
  <c r="N53" i="4"/>
  <c r="O53" i="4" s="1"/>
  <c r="P53" i="4" s="1"/>
  <c r="N78" i="4"/>
  <c r="O78" i="4" s="1"/>
  <c r="P78" i="4" s="1"/>
  <c r="N52" i="4"/>
  <c r="O52" i="4" s="1"/>
  <c r="P52" i="4" s="1"/>
  <c r="N99" i="4"/>
  <c r="O99" i="4" s="1"/>
  <c r="P99" i="4" s="1"/>
  <c r="N11" i="4"/>
  <c r="O11" i="4" s="1"/>
  <c r="P11" i="4" s="1"/>
  <c r="N100" i="4"/>
  <c r="O100" i="4" s="1"/>
  <c r="P100" i="4" s="1"/>
  <c r="N10" i="4"/>
  <c r="O10" i="4" s="1"/>
  <c r="P10" i="4" s="1"/>
  <c r="N101" i="4"/>
  <c r="O101" i="4" s="1"/>
  <c r="P101" i="4" s="1"/>
  <c r="N47" i="4"/>
  <c r="O47" i="4" s="1"/>
  <c r="P47" i="4" s="1"/>
  <c r="N65" i="4"/>
  <c r="O65" i="4" s="1"/>
  <c r="P65" i="4" s="1"/>
  <c r="N66" i="4"/>
  <c r="O66" i="4" s="1"/>
  <c r="P66" i="4" s="1"/>
  <c r="N45" i="4"/>
  <c r="O45" i="4" s="1"/>
  <c r="P45" i="4" s="1"/>
  <c r="N59" i="4"/>
  <c r="O59" i="4" s="1"/>
  <c r="P59" i="4" s="1"/>
  <c r="N23" i="4"/>
  <c r="O23" i="4" s="1"/>
  <c r="P23" i="4" s="1"/>
  <c r="N90" i="4"/>
  <c r="O90" i="4" s="1"/>
  <c r="P90" i="4" s="1"/>
  <c r="N57" i="4"/>
  <c r="O57" i="4" s="1"/>
  <c r="P57" i="4" s="1"/>
  <c r="N39" i="4"/>
  <c r="O39" i="4" s="1"/>
  <c r="P39" i="4" s="1"/>
  <c r="N21" i="4"/>
  <c r="O21" i="4" s="1"/>
  <c r="P21" i="4" s="1"/>
  <c r="N92" i="4"/>
  <c r="O92" i="4" s="1"/>
  <c r="P92" i="4" s="1"/>
  <c r="N110" i="4"/>
  <c r="O110" i="4" s="1"/>
  <c r="P110" i="4" s="1"/>
  <c r="AS12" i="3" l="1"/>
  <c r="AR12" i="3"/>
  <c r="AQ12" i="3"/>
  <c r="AP12" i="3"/>
  <c r="AS11" i="3"/>
  <c r="AR11" i="3"/>
  <c r="AQ11" i="3"/>
  <c r="AP11" i="3"/>
  <c r="AT10" i="3"/>
  <c r="AT9" i="3"/>
  <c r="AT8" i="3"/>
  <c r="AT7" i="3"/>
  <c r="AT6" i="3"/>
  <c r="AT5" i="3"/>
  <c r="AT4" i="3"/>
  <c r="AT3" i="3"/>
  <c r="AT2" i="3"/>
  <c r="AT11" i="3" l="1"/>
  <c r="AT12" i="3"/>
  <c r="X12" i="3" l="1"/>
  <c r="X11" i="3"/>
  <c r="T11" i="3"/>
  <c r="T12" i="3"/>
  <c r="P11" i="3"/>
  <c r="P12" i="3"/>
  <c r="U11" i="3"/>
  <c r="Y11" i="3"/>
  <c r="U12" i="3"/>
  <c r="Y12" i="3"/>
  <c r="Q11" i="3"/>
  <c r="Q12" i="3"/>
  <c r="M11" i="3"/>
  <c r="M12" i="3"/>
  <c r="L11" i="3"/>
  <c r="K11" i="3"/>
  <c r="J12" i="3"/>
  <c r="H11" i="3"/>
  <c r="I8" i="3"/>
  <c r="I7" i="3"/>
  <c r="E12" i="3"/>
  <c r="E11" i="3"/>
  <c r="BO9" i="3" l="1"/>
  <c r="BO12" i="3" s="1"/>
  <c r="BO3" i="3"/>
  <c r="BO5" i="3"/>
  <c r="BO6" i="3"/>
  <c r="BO7" i="3"/>
  <c r="BO8" i="3"/>
  <c r="BO10" i="3"/>
  <c r="BO2" i="3"/>
  <c r="BO4" i="3"/>
  <c r="BQ10" i="3"/>
  <c r="BQ2" i="3"/>
  <c r="BQ3" i="3"/>
  <c r="BQ4" i="3"/>
  <c r="BQ5" i="3"/>
  <c r="BQ6" i="3"/>
  <c r="BQ7" i="3"/>
  <c r="BQ8" i="3"/>
  <c r="BQ9" i="3"/>
  <c r="AH5" i="3"/>
  <c r="AH6" i="3"/>
  <c r="AH3" i="3"/>
  <c r="AH4" i="3"/>
  <c r="AH8" i="3"/>
  <c r="AH9" i="3"/>
  <c r="AH7" i="3"/>
  <c r="AH2" i="3"/>
  <c r="AH10" i="3"/>
  <c r="AD2" i="3"/>
  <c r="AD10" i="3"/>
  <c r="AD6" i="3"/>
  <c r="AD3" i="3"/>
  <c r="AD4" i="3"/>
  <c r="AD5" i="3"/>
  <c r="AD7" i="3"/>
  <c r="AD9" i="3"/>
  <c r="AD8" i="3"/>
  <c r="V2" i="3"/>
  <c r="N10" i="3"/>
  <c r="N3" i="3"/>
  <c r="N4" i="3"/>
  <c r="N5" i="3"/>
  <c r="N6" i="3"/>
  <c r="N7" i="3"/>
  <c r="N8" i="3"/>
  <c r="N9" i="3"/>
  <c r="N2" i="3"/>
  <c r="R3" i="3"/>
  <c r="R6" i="3"/>
  <c r="R7" i="3"/>
  <c r="R4" i="3"/>
  <c r="R5" i="3"/>
  <c r="R8" i="3"/>
  <c r="R9" i="3"/>
  <c r="R10" i="3"/>
  <c r="R2" i="3"/>
  <c r="V3" i="3"/>
  <c r="Z9" i="3"/>
  <c r="V10" i="3"/>
  <c r="V6" i="3"/>
  <c r="K6" i="3"/>
  <c r="Z7" i="3"/>
  <c r="AB7" i="3" s="1"/>
  <c r="Z8" i="3"/>
  <c r="AB8" i="3" s="1"/>
  <c r="Z6" i="3"/>
  <c r="AB6" i="3" s="1"/>
  <c r="Z3" i="3"/>
  <c r="AB3" i="3" s="1"/>
  <c r="Z4" i="3"/>
  <c r="AB4" i="3" s="1"/>
  <c r="Z2" i="3"/>
  <c r="Z5" i="3"/>
  <c r="AB5" i="3" s="1"/>
  <c r="V5" i="3"/>
  <c r="V4" i="3"/>
  <c r="Z10" i="3"/>
  <c r="AB10" i="3" s="1"/>
  <c r="V7" i="3"/>
  <c r="F11" i="3"/>
  <c r="V9" i="3"/>
  <c r="V8" i="3"/>
  <c r="F12" i="3"/>
  <c r="BO11" i="3" l="1"/>
  <c r="AH12" i="3"/>
  <c r="AH11" i="3"/>
  <c r="AD12" i="3"/>
  <c r="AD11" i="3"/>
  <c r="N12" i="3"/>
  <c r="L12" i="3"/>
  <c r="AB2" i="3"/>
  <c r="Z11" i="3"/>
  <c r="V11" i="3"/>
  <c r="Z12" i="3"/>
  <c r="AB9" i="3"/>
  <c r="R11" i="3"/>
  <c r="K12" i="3"/>
  <c r="V12" i="3"/>
  <c r="R12" i="3"/>
  <c r="N11" i="3"/>
  <c r="AB12" i="3" l="1"/>
  <c r="AB11" i="3"/>
  <c r="J11" i="3" l="1"/>
</calcChain>
</file>

<file path=xl/sharedStrings.xml><?xml version="1.0" encoding="utf-8"?>
<sst xmlns="http://schemas.openxmlformats.org/spreadsheetml/2006/main" count="1554" uniqueCount="412">
  <si>
    <t>ID</t>
  </si>
  <si>
    <t>AFK</t>
  </si>
  <si>
    <t>Name</t>
  </si>
  <si>
    <t>X_Coord</t>
  </si>
  <si>
    <t>Y_Coord</t>
  </si>
  <si>
    <t>Type</t>
  </si>
  <si>
    <t>01</t>
  </si>
  <si>
    <t>KFH</t>
  </si>
  <si>
    <t>Havenspoorlijn/Kijfhoek</t>
  </si>
  <si>
    <t>51.832247290656525</t>
  </si>
  <si>
    <t>4.596719513260259</t>
  </si>
  <si>
    <t>Source</t>
  </si>
  <si>
    <t>02</t>
  </si>
  <si>
    <t>MDK</t>
  </si>
  <si>
    <t>Moerdijk</t>
  </si>
  <si>
    <t>51.67446636813014</t>
  </si>
  <si>
    <t>4.605824196082787</t>
  </si>
  <si>
    <t>03</t>
  </si>
  <si>
    <t>SLOE</t>
  </si>
  <si>
    <t>Sloe</t>
  </si>
  <si>
    <t>51.448118758329514</t>
  </si>
  <si>
    <t>3.693875880913269</t>
  </si>
  <si>
    <t>04</t>
  </si>
  <si>
    <t>ASD</t>
  </si>
  <si>
    <t>Amsterdam</t>
  </si>
  <si>
    <t>52.379106200569545</t>
  </si>
  <si>
    <t>4.899776595895073</t>
  </si>
  <si>
    <t>05</t>
  </si>
  <si>
    <t>N/A</t>
  </si>
  <si>
    <t>Grensovergang_Oldenzaal</t>
  </si>
  <si>
    <t>52.30905324849277</t>
  </si>
  <si>
    <t>7.039867895617586</t>
  </si>
  <si>
    <t>Sink</t>
  </si>
  <si>
    <t>06</t>
  </si>
  <si>
    <t>Grensovergang_Zevenaar</t>
  </si>
  <si>
    <t>51.90112541856209</t>
  </si>
  <si>
    <t>6.137564620608317</t>
  </si>
  <si>
    <t>07</t>
  </si>
  <si>
    <t>Grensovergang_Venlo</t>
  </si>
  <si>
    <t>51.34111081695089</t>
  </si>
  <si>
    <t>6.192490761039292</t>
  </si>
  <si>
    <t>08</t>
  </si>
  <si>
    <t>Grensovergang_Roosendaal</t>
  </si>
  <si>
    <t>51.46899619522927</t>
  </si>
  <si>
    <t>4.447789618929789</t>
  </si>
  <si>
    <t>09</t>
  </si>
  <si>
    <t>STD</t>
  </si>
  <si>
    <t>Chemelot/Sittard</t>
  </si>
  <si>
    <t>50.97060295213011</t>
  </si>
  <si>
    <t>5.804011491769053</t>
  </si>
  <si>
    <t>10</t>
  </si>
  <si>
    <t>GVC</t>
  </si>
  <si>
    <t>Den_Haag</t>
  </si>
  <si>
    <t>52.081296960079975</t>
  </si>
  <si>
    <t>4.324088315989479</t>
  </si>
  <si>
    <t xml:space="preserve"> </t>
  </si>
  <si>
    <t>11</t>
  </si>
  <si>
    <t>LEDN</t>
  </si>
  <si>
    <t>Leiden</t>
  </si>
  <si>
    <t>52.16624413080438</t>
  </si>
  <si>
    <t>4.481786290714883</t>
  </si>
  <si>
    <t xml:space="preserve">  </t>
  </si>
  <si>
    <t>12</t>
  </si>
  <si>
    <t>RTD</t>
  </si>
  <si>
    <t>Rotterdam</t>
  </si>
  <si>
    <t>51.92524789342453</t>
  </si>
  <si>
    <t>4.469471680070898</t>
  </si>
  <si>
    <t>13</t>
  </si>
  <si>
    <t>GD</t>
  </si>
  <si>
    <t>Gouda</t>
  </si>
  <si>
    <t>52.01712561008067</t>
  </si>
  <si>
    <t>4.707429645351758</t>
  </si>
  <si>
    <t>14</t>
  </si>
  <si>
    <t>DVD</t>
  </si>
  <si>
    <t>Duivendrecht</t>
  </si>
  <si>
    <t>52.323669819433455</t>
  </si>
  <si>
    <t>4.9366765028705855</t>
  </si>
  <si>
    <t>15</t>
  </si>
  <si>
    <t>Unnamed_01</t>
  </si>
  <si>
    <t>52.16820500951171</t>
  </si>
  <si>
    <t>4.990882898682442</t>
  </si>
  <si>
    <t>16</t>
  </si>
  <si>
    <t>WD</t>
  </si>
  <si>
    <t>Woerden</t>
  </si>
  <si>
    <t>52.085023477521794</t>
  </si>
  <si>
    <t>4.8931521883108156</t>
  </si>
  <si>
    <t>17</t>
  </si>
  <si>
    <t>UT</t>
  </si>
  <si>
    <t>Utrecht</t>
  </si>
  <si>
    <t>52.090103837054855</t>
  </si>
  <si>
    <t>5.109719585255221</t>
  </si>
  <si>
    <t>18</t>
  </si>
  <si>
    <t>AMF</t>
  </si>
  <si>
    <t>Amersfoort</t>
  </si>
  <si>
    <t>52.15386042330568</t>
  </si>
  <si>
    <t>5.374027777888797</t>
  </si>
  <si>
    <t>19</t>
  </si>
  <si>
    <t>ZL</t>
  </si>
  <si>
    <t>Zwolle</t>
  </si>
  <si>
    <t>52.50473007409282</t>
  </si>
  <si>
    <t>6.091138656519499</t>
  </si>
  <si>
    <t>20</t>
  </si>
  <si>
    <t xml:space="preserve">DV </t>
  </si>
  <si>
    <t>Deventer</t>
  </si>
  <si>
    <t>52.257244596701646</t>
  </si>
  <si>
    <t>6.1609854671126625</t>
  </si>
  <si>
    <t>21</t>
  </si>
  <si>
    <t>WDN</t>
  </si>
  <si>
    <t>Wierden</t>
  </si>
  <si>
    <t>52.3615572348248</t>
  </si>
  <si>
    <t>6.592528130802234</t>
  </si>
  <si>
    <t>22</t>
  </si>
  <si>
    <t>HGL</t>
  </si>
  <si>
    <t>Hengelo</t>
  </si>
  <si>
    <t>52.26170927149936</t>
  </si>
  <si>
    <t>6.793798587596637</t>
  </si>
  <si>
    <t>23</t>
  </si>
  <si>
    <t>WW</t>
  </si>
  <si>
    <t>Winterswijk</t>
  </si>
  <si>
    <t>51.96763084850695</t>
  </si>
  <si>
    <t>6.715332245358148</t>
  </si>
  <si>
    <t>24</t>
  </si>
  <si>
    <t>ZP</t>
  </si>
  <si>
    <t>Zutphen</t>
  </si>
  <si>
    <t>52.14492133339162</t>
  </si>
  <si>
    <t>6.193673898641331</t>
  </si>
  <si>
    <t>25</t>
  </si>
  <si>
    <t>APD</t>
  </si>
  <si>
    <t>Apeldoorn</t>
  </si>
  <si>
    <t>52.20921163421738</t>
  </si>
  <si>
    <t>5.969303431987074</t>
  </si>
  <si>
    <t>26</t>
  </si>
  <si>
    <t>Unnamed_02</t>
  </si>
  <si>
    <t>52.162139556851464</t>
  </si>
  <si>
    <t>5.59388571456254</t>
  </si>
  <si>
    <t>27</t>
  </si>
  <si>
    <t>ED</t>
  </si>
  <si>
    <t>Ede-Wageningen</t>
  </si>
  <si>
    <t>52.026869797282316</t>
  </si>
  <si>
    <t>5.6764610848848704</t>
  </si>
  <si>
    <t>28</t>
  </si>
  <si>
    <t>ZV</t>
  </si>
  <si>
    <t>Zevenaar</t>
  </si>
  <si>
    <t>51.92295458455969</t>
  </si>
  <si>
    <t>6.072810991381425</t>
  </si>
  <si>
    <t>29</t>
  </si>
  <si>
    <t>AH</t>
  </si>
  <si>
    <t>Arnhem</t>
  </si>
  <si>
    <t>51.98489606611639</t>
  </si>
  <si>
    <t>5.8999605895337845</t>
  </si>
  <si>
    <t>30</t>
  </si>
  <si>
    <t>NM</t>
  </si>
  <si>
    <t>Nijmegen</t>
  </si>
  <si>
    <t>51.8438700824519</t>
  </si>
  <si>
    <t>5.852240462549631</t>
  </si>
  <si>
    <t>31</t>
  </si>
  <si>
    <t>Unnamed_03</t>
  </si>
  <si>
    <t>51.85928591946076</t>
  </si>
  <si>
    <t>5.2743881949186235</t>
  </si>
  <si>
    <t>32</t>
  </si>
  <si>
    <t>HT</t>
  </si>
  <si>
    <t>S_Hertogenbosch</t>
  </si>
  <si>
    <t>51.690733844667456</t>
  </si>
  <si>
    <t>5.293528450109036</t>
  </si>
  <si>
    <t>33</t>
  </si>
  <si>
    <t>TB</t>
  </si>
  <si>
    <t>Tilburg</t>
  </si>
  <si>
    <t>51.56078679860413</t>
  </si>
  <si>
    <t>5.081794925251462</t>
  </si>
  <si>
    <t>34</t>
  </si>
  <si>
    <t>BTL</t>
  </si>
  <si>
    <t>Boxtel</t>
  </si>
  <si>
    <t>51.58431184227723</t>
  </si>
  <si>
    <t>5.319215205006475</t>
  </si>
  <si>
    <t>35</t>
  </si>
  <si>
    <t>ZLW</t>
  </si>
  <si>
    <t>Lage_Zwaluwe</t>
  </si>
  <si>
    <t>51.690168428270795</t>
  </si>
  <si>
    <t>4.664096468912742</t>
  </si>
  <si>
    <t>36</t>
  </si>
  <si>
    <t>RSD</t>
  </si>
  <si>
    <t>Roosendaal</t>
  </si>
  <si>
    <t>51.54100084328078</t>
  </si>
  <si>
    <t>4.458644549583421</t>
  </si>
  <si>
    <t>37</t>
  </si>
  <si>
    <t>BD</t>
  </si>
  <si>
    <t>Breda</t>
  </si>
  <si>
    <t>51.59560007204336</t>
  </si>
  <si>
    <t>4.7785175509140885</t>
  </si>
  <si>
    <t>38</t>
  </si>
  <si>
    <t>EHV</t>
  </si>
  <si>
    <t>Eindhoven</t>
  </si>
  <si>
    <t>51.44278850969329</t>
  </si>
  <si>
    <t>5.479357628271485</t>
  </si>
  <si>
    <t>39</t>
  </si>
  <si>
    <t>BR</t>
  </si>
  <si>
    <t>Blerick</t>
  </si>
  <si>
    <t>51.37213964700781</t>
  </si>
  <si>
    <t>6.1556738935151065</t>
  </si>
  <si>
    <t>40</t>
  </si>
  <si>
    <t>RM</t>
  </si>
  <si>
    <t>Roermond</t>
  </si>
  <si>
    <t>51.19303325517672</t>
  </si>
  <si>
    <t>5.99476411546437</t>
  </si>
  <si>
    <t>101</t>
  </si>
  <si>
    <t>SSO</t>
  </si>
  <si>
    <t>Super_Source</t>
  </si>
  <si>
    <t>51.85175742866296</t>
  </si>
  <si>
    <t>3.605864255380138</t>
  </si>
  <si>
    <t>102</t>
  </si>
  <si>
    <t>SSI</t>
  </si>
  <si>
    <t>Super_Sink</t>
  </si>
  <si>
    <t>51.56706319205545</t>
  </si>
  <si>
    <t>7.1815624736615495</t>
  </si>
  <si>
    <t>Node_A_ID</t>
  </si>
  <si>
    <t>Node_B_ID</t>
  </si>
  <si>
    <t>Distance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</si>
  <si>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</si>
  <si>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</si>
  <si>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</si>
  <si>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</si>
  <si>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</si>
  <si>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</si>
  <si>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</si>
  <si>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</si>
  <si>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</si>
  <si>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</si>
  <si>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</si>
  <si>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</si>
  <si>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</si>
  <si>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</si>
  <si>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</si>
  <si>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</si>
  <si>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</si>
  <si>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</si>
  <si>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</si>
  <si>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</si>
  <si>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</si>
  <si>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</si>
  <si>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</si>
  <si>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</si>
  <si>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</si>
  <si>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</si>
  <si>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</si>
  <si>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</si>
  <si>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</si>
  <si>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</si>
  <si>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</si>
  <si>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</si>
  <si>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</si>
  <si>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</si>
  <si>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</si>
  <si>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</si>
  <si>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</si>
  <si>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</si>
  <si>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</si>
  <si>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</si>
  <si>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</si>
  <si>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</si>
  <si>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</si>
  <si>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</si>
  <si>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</si>
  <si>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</si>
  <si>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</si>
  <si>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</si>
  <si>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</si>
  <si>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</si>
  <si>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</si>
  <si>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</si>
  <si>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</si>
  <si>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</si>
  <si>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</si>
  <si>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</si>
  <si>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</si>
  <si>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</si>
  <si>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</si>
  <si>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</si>
  <si>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</si>
  <si>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</si>
  <si>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</si>
  <si>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</si>
  <si>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</si>
  <si>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</si>
  <si>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</si>
  <si>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</si>
  <si>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</si>
  <si>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</si>
  <si>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</si>
  <si>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</si>
  <si>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</si>
  <si>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</si>
  <si>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</si>
  <si>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</si>
  <si>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</si>
  <si>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</si>
  <si>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</t>
  </si>
  <si>
    <t>122</t>
  </si>
  <si>
    <t>2</t>
  </si>
  <si>
    <t>123</t>
  </si>
  <si>
    <t>3</t>
  </si>
  <si>
    <t>124</t>
  </si>
  <si>
    <t>4</t>
  </si>
  <si>
    <t>125</t>
  </si>
  <si>
    <t>5</t>
  </si>
  <si>
    <t>126</t>
  </si>
  <si>
    <t>6</t>
  </si>
  <si>
    <t>127</t>
  </si>
  <si>
    <t>7</t>
  </si>
  <si>
    <t>128</t>
  </si>
  <si>
    <t>8</t>
  </si>
  <si>
    <t>129</t>
  </si>
  <si>
    <t>9</t>
  </si>
  <si>
    <t>WP</t>
  </si>
  <si>
    <t>Weesp</t>
  </si>
  <si>
    <t>52.31259966390713</t>
  </si>
  <si>
    <t>5.04322864958163</t>
  </si>
  <si>
    <t>72</t>
  </si>
  <si>
    <t>130</t>
  </si>
  <si>
    <t>131</t>
  </si>
  <si>
    <t>paths</t>
  </si>
  <si>
    <t>0</t>
  </si>
  <si>
    <t>Total Source</t>
  </si>
  <si>
    <t>Total Sink</t>
  </si>
  <si>
    <t>ext</t>
  </si>
  <si>
    <t>Mod_shift_1</t>
  </si>
  <si>
    <t>Mod_shift_2</t>
  </si>
  <si>
    <t>max_cap</t>
  </si>
  <si>
    <t>border</t>
  </si>
  <si>
    <t>Mod_shift_3</t>
  </si>
  <si>
    <t>2030_L</t>
  </si>
  <si>
    <t>2030_H</t>
  </si>
  <si>
    <t>2040_L</t>
  </si>
  <si>
    <t>2040_H</t>
  </si>
  <si>
    <t>2040_H_R</t>
  </si>
  <si>
    <t>2040_H_C</t>
  </si>
  <si>
    <t>ms_3_40_L</t>
  </si>
  <si>
    <t>no</t>
  </si>
  <si>
    <t>24_ASD</t>
  </si>
  <si>
    <t>24_SLOE</t>
  </si>
  <si>
    <t>24_MDK</t>
  </si>
  <si>
    <t>24_KFH</t>
  </si>
  <si>
    <t>sum</t>
  </si>
  <si>
    <t>2024_C</t>
  </si>
  <si>
    <t>30_H_ASD</t>
  </si>
  <si>
    <t>30_H_SLOE</t>
  </si>
  <si>
    <t>30_H_MDK</t>
  </si>
  <si>
    <t>30_H_KFH</t>
  </si>
  <si>
    <t>2030_H_C</t>
  </si>
  <si>
    <t>pas</t>
  </si>
  <si>
    <t>tot_cap</t>
  </si>
  <si>
    <t>gpp</t>
  </si>
  <si>
    <t>mw</t>
  </si>
  <si>
    <t>gd</t>
  </si>
  <si>
    <t>gd_night</t>
  </si>
  <si>
    <t>T_night</t>
  </si>
  <si>
    <t xml:space="preserve">    </t>
  </si>
  <si>
    <t>max_cap_n</t>
  </si>
  <si>
    <t>2024_n</t>
  </si>
  <si>
    <t>40_H_ASD</t>
  </si>
  <si>
    <t>40_H_SLOE</t>
  </si>
  <si>
    <t>40_H_MDK</t>
  </si>
  <si>
    <t>40_H_KFH</t>
  </si>
  <si>
    <t>ms_3_40_H</t>
  </si>
  <si>
    <t>2050_L</t>
  </si>
  <si>
    <t>50_L_ASD</t>
  </si>
  <si>
    <t>2050_H</t>
  </si>
  <si>
    <t>50_H_ASD</t>
  </si>
  <si>
    <t>50_H_SLOE</t>
  </si>
  <si>
    <t>50_H_MDK</t>
  </si>
  <si>
    <t>50_H_KFH</t>
  </si>
  <si>
    <t>2050_H_C</t>
  </si>
  <si>
    <t>50_L_SLOE</t>
  </si>
  <si>
    <t>50_L_MDK</t>
  </si>
  <si>
    <t>50_L_KFH</t>
  </si>
  <si>
    <t>ms_2_50_H</t>
  </si>
  <si>
    <t>2040_L_C</t>
  </si>
  <si>
    <t>40_L_ASD</t>
  </si>
  <si>
    <t>40_L_SLOE</t>
  </si>
  <si>
    <t>40_L_MDK</t>
  </si>
  <si>
    <t>40_L_KFH</t>
  </si>
  <si>
    <t>Lnight_2</t>
  </si>
  <si>
    <t>e_2</t>
  </si>
  <si>
    <t>max-cap_n</t>
  </si>
  <si>
    <t>=(G3/18)+H3</t>
  </si>
  <si>
    <t>=(G4/18)+H4</t>
  </si>
  <si>
    <t>=(G33/18)+H33</t>
  </si>
  <si>
    <t>=(G34/18)+H34</t>
  </si>
  <si>
    <t>=(G38/18)+H38</t>
  </si>
  <si>
    <t>2024_tot</t>
  </si>
  <si>
    <t>2024_new</t>
  </si>
  <si>
    <t>Prop.</t>
  </si>
  <si>
    <t>30_L_tot</t>
  </si>
  <si>
    <t>30_L_new</t>
  </si>
  <si>
    <t>2030_L_C</t>
  </si>
  <si>
    <t>30_H_tot</t>
  </si>
  <si>
    <t>30_H_new</t>
  </si>
  <si>
    <t>40_L_tot</t>
  </si>
  <si>
    <t>40_L_new</t>
  </si>
  <si>
    <t>2040_H_tot</t>
  </si>
  <si>
    <t>205_L_new</t>
  </si>
  <si>
    <t>2050_L_C</t>
  </si>
  <si>
    <t>2050_H_tot</t>
  </si>
  <si>
    <t>50_L_tot</t>
  </si>
  <si>
    <t>50_L_new</t>
  </si>
  <si>
    <t>50_L_C</t>
  </si>
  <si>
    <t>ms_3_30_L</t>
  </si>
  <si>
    <t>ms_3_30_H</t>
  </si>
  <si>
    <t>ms_3_50_H</t>
  </si>
  <si>
    <t>ms_2_30_L</t>
  </si>
  <si>
    <t>ms_2_30_H</t>
  </si>
  <si>
    <t>ms_2_40_L</t>
  </si>
  <si>
    <t>ms_2_40_H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</si>
</sst>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49" fontId="0" fillId="2" borderId="0" xfId="0" applyNumberFormat="1" applyFill="1"/>
    <xf numFmtId="2" fontId="0" fillId="0" borderId="0" xfId="0" applyNumberFormat="1"/>
    <xf numFmtId="0" fontId="2" fillId="0" borderId="0" xfId="0" applyFont="1"/>
    <xf numFmtId="0" fontId="0" fillId="0" borderId="0" xfId="0" applyFont="1"/>
    <xf numFmtId="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6289C-2F7A-4ADD-9D8A-F1FF21157B44}">
  <dimension ref="A1:BC44"/>
  <sheetViews>
    <sheetView workbookViewId="0">
      <selection activeCell="O11" sqref="O11"/>
    </sheetView>
  </sheetViews>
  <sheetFormatPr defaultRowHeight="14.4" x14ac:dyDescent="0.3"/>
  <cols>
    <col min="3" max="3" width="20.88671875" customWidth="1"/>
    <col min="9" max="9" width="8.88671875" customWidth="1"/>
    <col min="10" max="10" width="14.44140625" customWidth="1"/>
    <col min="11" max="11" width="11.77734375" customWidth="1"/>
    <col min="12" max="12" width="13.33203125" customWidth="1"/>
  </cols>
  <sheetData>
    <row r="1" spans="1:55" x14ac:dyDescent="0.3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t="s">
        <v>5</v>
      </c>
      <c r="G1" s="1" t="s">
        <v>336</v>
      </c>
      <c r="H1">
        <v>2024</v>
      </c>
      <c r="I1" s="8" t="s">
        <v>324</v>
      </c>
      <c r="J1" s="8" t="s">
        <v>325</v>
      </c>
      <c r="K1" s="8" t="s">
        <v>328</v>
      </c>
      <c r="L1" t="s">
        <v>329</v>
      </c>
      <c r="M1" t="s">
        <v>330</v>
      </c>
      <c r="N1" t="s">
        <v>331</v>
      </c>
      <c r="O1" t="s">
        <v>332</v>
      </c>
      <c r="P1" t="s">
        <v>363</v>
      </c>
      <c r="Q1" t="s">
        <v>365</v>
      </c>
      <c r="R1" t="s">
        <v>337</v>
      </c>
      <c r="S1" t="s">
        <v>338</v>
      </c>
      <c r="T1" t="s">
        <v>339</v>
      </c>
      <c r="U1" t="s">
        <v>340</v>
      </c>
      <c r="V1" t="s">
        <v>343</v>
      </c>
      <c r="W1" t="s">
        <v>344</v>
      </c>
      <c r="X1" t="s">
        <v>345</v>
      </c>
      <c r="Y1" t="s">
        <v>346</v>
      </c>
      <c r="Z1" t="s">
        <v>376</v>
      </c>
      <c r="AA1" t="s">
        <v>377</v>
      </c>
      <c r="AB1" t="s">
        <v>378</v>
      </c>
      <c r="AC1" t="s">
        <v>379</v>
      </c>
      <c r="AD1" t="s">
        <v>358</v>
      </c>
      <c r="AE1" t="s">
        <v>359</v>
      </c>
      <c r="AF1" t="s">
        <v>360</v>
      </c>
      <c r="AG1" t="s">
        <v>361</v>
      </c>
      <c r="AH1" t="s">
        <v>364</v>
      </c>
      <c r="AI1" t="s">
        <v>371</v>
      </c>
      <c r="AJ1" t="s">
        <v>372</v>
      </c>
      <c r="AK1" t="s">
        <v>373</v>
      </c>
      <c r="AL1" t="s">
        <v>366</v>
      </c>
      <c r="AM1" t="s">
        <v>367</v>
      </c>
      <c r="AN1" t="s">
        <v>368</v>
      </c>
      <c r="AO1" t="s">
        <v>369</v>
      </c>
      <c r="AP1" t="s">
        <v>405</v>
      </c>
      <c r="AQ1" t="s">
        <v>406</v>
      </c>
      <c r="AR1" t="s">
        <v>335</v>
      </c>
      <c r="AS1" t="s">
        <v>362</v>
      </c>
      <c r="AT1" t="s">
        <v>407</v>
      </c>
      <c r="AU1" t="s">
        <v>407</v>
      </c>
      <c r="AV1" t="s">
        <v>408</v>
      </c>
      <c r="AW1" t="s">
        <v>409</v>
      </c>
      <c r="AX1" t="s">
        <v>410</v>
      </c>
      <c r="AY1" t="s">
        <v>411</v>
      </c>
      <c r="AZ1" t="s">
        <v>374</v>
      </c>
      <c r="BA1" t="s">
        <v>374</v>
      </c>
      <c r="BC1">
        <v>-1</v>
      </c>
    </row>
    <row r="2" spans="1:55" x14ac:dyDescent="0.3">
      <c r="A2" s="1" t="s">
        <v>6</v>
      </c>
      <c r="B2" s="1" t="s">
        <v>7</v>
      </c>
      <c r="C2" t="s">
        <v>8</v>
      </c>
      <c r="D2" s="1" t="s">
        <v>9</v>
      </c>
      <c r="E2" s="1" t="s">
        <v>10</v>
      </c>
      <c r="F2" t="s">
        <v>11</v>
      </c>
      <c r="G2">
        <v>0</v>
      </c>
      <c r="H2">
        <v>-61</v>
      </c>
      <c r="I2">
        <v>-69</v>
      </c>
      <c r="J2">
        <v>-5</v>
      </c>
      <c r="K2">
        <v>-19</v>
      </c>
      <c r="L2">
        <v>-72</v>
      </c>
      <c r="M2">
        <v>-79</v>
      </c>
      <c r="N2">
        <v>-84</v>
      </c>
      <c r="O2">
        <v>-102</v>
      </c>
      <c r="P2">
        <v>-97</v>
      </c>
      <c r="Q2">
        <v>-131</v>
      </c>
      <c r="R2">
        <v>0</v>
      </c>
      <c r="S2">
        <v>0</v>
      </c>
      <c r="T2">
        <v>0</v>
      </c>
      <c r="U2">
        <v>-61</v>
      </c>
      <c r="V2">
        <v>0</v>
      </c>
      <c r="W2">
        <v>0</v>
      </c>
      <c r="X2">
        <v>0</v>
      </c>
      <c r="Y2">
        <v>-79</v>
      </c>
      <c r="Z2">
        <v>0</v>
      </c>
      <c r="AA2">
        <v>0</v>
      </c>
      <c r="AB2">
        <v>0</v>
      </c>
      <c r="AC2">
        <v>-84</v>
      </c>
      <c r="AD2">
        <v>0</v>
      </c>
      <c r="AE2">
        <v>0</v>
      </c>
      <c r="AF2">
        <v>0</v>
      </c>
      <c r="AG2">
        <v>-102</v>
      </c>
      <c r="AH2">
        <v>0</v>
      </c>
      <c r="AI2">
        <v>0</v>
      </c>
      <c r="AJ2">
        <v>0</v>
      </c>
      <c r="AK2">
        <v>-97</v>
      </c>
      <c r="AL2">
        <v>0</v>
      </c>
      <c r="AM2">
        <v>0</v>
      </c>
      <c r="AN2">
        <v>0</v>
      </c>
      <c r="AO2">
        <v>-131</v>
      </c>
      <c r="AP2">
        <v>-24</v>
      </c>
      <c r="AQ2">
        <v>-28</v>
      </c>
      <c r="AR2">
        <v>-29</v>
      </c>
      <c r="AS2">
        <v>-34</v>
      </c>
      <c r="AT2">
        <v>-32</v>
      </c>
      <c r="AU2">
        <v>-44</v>
      </c>
      <c r="AV2">
        <v>-6</v>
      </c>
      <c r="AW2">
        <v>-7</v>
      </c>
      <c r="AX2">
        <v>-8</v>
      </c>
      <c r="AY2">
        <v>-9</v>
      </c>
      <c r="AZ2">
        <v>-9</v>
      </c>
      <c r="BA2">
        <v>-11</v>
      </c>
    </row>
    <row r="3" spans="1:55" x14ac:dyDescent="0.3">
      <c r="A3" s="1" t="s">
        <v>12</v>
      </c>
      <c r="B3" s="1" t="s">
        <v>13</v>
      </c>
      <c r="C3" t="s">
        <v>14</v>
      </c>
      <c r="D3" s="1" t="s">
        <v>15</v>
      </c>
      <c r="E3" s="1" t="s">
        <v>16</v>
      </c>
      <c r="F3" t="s">
        <v>11</v>
      </c>
      <c r="G3">
        <v>0</v>
      </c>
      <c r="H3">
        <v>-5</v>
      </c>
      <c r="I3">
        <v>-55</v>
      </c>
      <c r="J3">
        <v>-5</v>
      </c>
      <c r="K3">
        <v>-2</v>
      </c>
      <c r="L3">
        <v>-3</v>
      </c>
      <c r="M3">
        <v>-4</v>
      </c>
      <c r="N3">
        <v>-4</v>
      </c>
      <c r="O3">
        <v>-4</v>
      </c>
      <c r="P3">
        <v>-4</v>
      </c>
      <c r="Q3">
        <v>-5</v>
      </c>
      <c r="R3">
        <v>0</v>
      </c>
      <c r="S3">
        <v>0</v>
      </c>
      <c r="T3">
        <v>-5</v>
      </c>
      <c r="U3">
        <v>0</v>
      </c>
      <c r="V3">
        <v>0</v>
      </c>
      <c r="W3">
        <v>0</v>
      </c>
      <c r="X3">
        <v>-4</v>
      </c>
      <c r="Y3">
        <v>0</v>
      </c>
      <c r="Z3">
        <v>0</v>
      </c>
      <c r="AA3">
        <v>0</v>
      </c>
      <c r="AB3">
        <v>-4</v>
      </c>
      <c r="AC3">
        <v>0</v>
      </c>
      <c r="AD3">
        <v>0</v>
      </c>
      <c r="AE3">
        <v>0</v>
      </c>
      <c r="AF3">
        <v>-4</v>
      </c>
      <c r="AG3">
        <v>0</v>
      </c>
      <c r="AH3">
        <v>0</v>
      </c>
      <c r="AI3">
        <v>0</v>
      </c>
      <c r="AJ3">
        <v>-4</v>
      </c>
      <c r="AK3">
        <v>0</v>
      </c>
      <c r="AL3">
        <v>0</v>
      </c>
      <c r="AM3">
        <v>0</v>
      </c>
      <c r="AN3">
        <v>-5</v>
      </c>
      <c r="AO3">
        <v>0</v>
      </c>
      <c r="AP3">
        <v>-3</v>
      </c>
      <c r="AQ3">
        <v>-3</v>
      </c>
      <c r="AR3">
        <v>-3</v>
      </c>
      <c r="AS3">
        <v>-4</v>
      </c>
      <c r="AT3">
        <v>-3</v>
      </c>
      <c r="AU3">
        <v>-5</v>
      </c>
      <c r="AV3">
        <v>-6</v>
      </c>
      <c r="AW3">
        <v>-7</v>
      </c>
      <c r="AX3">
        <v>-8</v>
      </c>
      <c r="AY3">
        <v>-9</v>
      </c>
      <c r="AZ3">
        <v>-9</v>
      </c>
      <c r="BA3">
        <v>-11</v>
      </c>
    </row>
    <row r="4" spans="1:55" x14ac:dyDescent="0.3">
      <c r="A4" s="1" t="s">
        <v>17</v>
      </c>
      <c r="B4" s="1" t="s">
        <v>18</v>
      </c>
      <c r="C4" t="s">
        <v>19</v>
      </c>
      <c r="D4" s="1" t="s">
        <v>20</v>
      </c>
      <c r="E4" s="1" t="s">
        <v>21</v>
      </c>
      <c r="F4" t="s">
        <v>11</v>
      </c>
      <c r="G4">
        <v>0</v>
      </c>
      <c r="H4">
        <v>-5</v>
      </c>
      <c r="I4">
        <v>-24</v>
      </c>
      <c r="J4">
        <v>-3</v>
      </c>
      <c r="K4">
        <v>-2</v>
      </c>
      <c r="L4">
        <v>-7</v>
      </c>
      <c r="M4">
        <v>-9</v>
      </c>
      <c r="N4">
        <v>-8</v>
      </c>
      <c r="O4">
        <v>-9</v>
      </c>
      <c r="P4">
        <v>-8</v>
      </c>
      <c r="Q4">
        <v>-10</v>
      </c>
      <c r="R4">
        <v>0</v>
      </c>
      <c r="S4">
        <v>-5</v>
      </c>
      <c r="T4">
        <v>0</v>
      </c>
      <c r="U4">
        <v>0</v>
      </c>
      <c r="V4">
        <v>0</v>
      </c>
      <c r="W4">
        <v>-9</v>
      </c>
      <c r="X4">
        <v>0</v>
      </c>
      <c r="Y4">
        <v>0</v>
      </c>
      <c r="Z4">
        <v>0</v>
      </c>
      <c r="AA4">
        <v>-8</v>
      </c>
      <c r="AB4">
        <v>0</v>
      </c>
      <c r="AC4">
        <v>0</v>
      </c>
      <c r="AD4">
        <v>0</v>
      </c>
      <c r="AE4">
        <v>-9</v>
      </c>
      <c r="AF4">
        <v>0</v>
      </c>
      <c r="AG4">
        <v>0</v>
      </c>
      <c r="AH4">
        <v>0</v>
      </c>
      <c r="AI4">
        <v>-8</v>
      </c>
      <c r="AJ4">
        <v>0</v>
      </c>
      <c r="AK4">
        <v>0</v>
      </c>
      <c r="AL4">
        <v>0</v>
      </c>
      <c r="AM4">
        <v>-10</v>
      </c>
      <c r="AN4">
        <v>0</v>
      </c>
      <c r="AO4">
        <v>0</v>
      </c>
      <c r="AP4">
        <v>-3</v>
      </c>
      <c r="AQ4">
        <v>-3</v>
      </c>
      <c r="AR4">
        <v>-3</v>
      </c>
      <c r="AS4">
        <v>-4</v>
      </c>
      <c r="AT4">
        <v>-3</v>
      </c>
      <c r="AU4">
        <v>-5</v>
      </c>
      <c r="AV4">
        <v>-4</v>
      </c>
      <c r="AW4">
        <v>-4</v>
      </c>
      <c r="AX4">
        <v>-5</v>
      </c>
      <c r="AY4">
        <v>-5</v>
      </c>
      <c r="AZ4">
        <v>-5</v>
      </c>
      <c r="BA4">
        <v>-7</v>
      </c>
    </row>
    <row r="5" spans="1:55" x14ac:dyDescent="0.3">
      <c r="A5" s="1" t="s">
        <v>22</v>
      </c>
      <c r="B5" s="1" t="s">
        <v>23</v>
      </c>
      <c r="C5" t="s">
        <v>24</v>
      </c>
      <c r="D5" s="1" t="s">
        <v>25</v>
      </c>
      <c r="E5" s="1" t="s">
        <v>26</v>
      </c>
      <c r="F5" t="s">
        <v>11</v>
      </c>
      <c r="G5">
        <v>0</v>
      </c>
      <c r="H5">
        <v>-3</v>
      </c>
      <c r="I5">
        <v>-76</v>
      </c>
      <c r="J5">
        <v>-5</v>
      </c>
      <c r="K5">
        <v>-1</v>
      </c>
      <c r="L5">
        <v>-13</v>
      </c>
      <c r="M5">
        <v>-16</v>
      </c>
      <c r="N5">
        <v>-16</v>
      </c>
      <c r="O5">
        <v>-20</v>
      </c>
      <c r="P5">
        <v>-19</v>
      </c>
      <c r="Q5">
        <v>-25</v>
      </c>
      <c r="R5">
        <v>-3</v>
      </c>
      <c r="S5">
        <v>0</v>
      </c>
      <c r="T5">
        <v>0</v>
      </c>
      <c r="U5">
        <v>0</v>
      </c>
      <c r="V5">
        <v>-16</v>
      </c>
      <c r="W5">
        <v>0</v>
      </c>
      <c r="X5">
        <v>0</v>
      </c>
      <c r="Y5">
        <v>0</v>
      </c>
      <c r="Z5">
        <v>-16</v>
      </c>
      <c r="AA5">
        <v>0</v>
      </c>
      <c r="AB5">
        <v>0</v>
      </c>
      <c r="AC5">
        <v>0</v>
      </c>
      <c r="AD5">
        <v>-20</v>
      </c>
      <c r="AE5">
        <v>0</v>
      </c>
      <c r="AF5">
        <v>0</v>
      </c>
      <c r="AG5">
        <v>0</v>
      </c>
      <c r="AH5">
        <v>-19</v>
      </c>
      <c r="AI5">
        <v>0</v>
      </c>
      <c r="AJ5">
        <v>0</v>
      </c>
      <c r="AK5">
        <v>0</v>
      </c>
      <c r="AL5">
        <v>-25</v>
      </c>
      <c r="AM5">
        <v>0</v>
      </c>
      <c r="AN5">
        <v>0</v>
      </c>
      <c r="AO5">
        <v>0</v>
      </c>
      <c r="AP5">
        <v>-1</v>
      </c>
      <c r="AQ5">
        <v>-1</v>
      </c>
      <c r="AR5">
        <v>-2</v>
      </c>
      <c r="AS5">
        <v>-2</v>
      </c>
      <c r="AT5">
        <v>-2</v>
      </c>
      <c r="AU5">
        <v>-2</v>
      </c>
      <c r="AV5">
        <v>-6</v>
      </c>
      <c r="AW5">
        <v>-7</v>
      </c>
      <c r="AX5">
        <v>-8</v>
      </c>
      <c r="AY5">
        <v>-9</v>
      </c>
      <c r="AZ5">
        <v>-9</v>
      </c>
      <c r="BA5">
        <v>-12</v>
      </c>
    </row>
    <row r="6" spans="1:55" x14ac:dyDescent="0.3">
      <c r="A6" s="1" t="s">
        <v>27</v>
      </c>
      <c r="B6" s="1" t="s">
        <v>28</v>
      </c>
      <c r="C6" t="s">
        <v>29</v>
      </c>
      <c r="D6" s="1" t="s">
        <v>30</v>
      </c>
      <c r="E6" s="1" t="s">
        <v>31</v>
      </c>
      <c r="F6" t="s">
        <v>32</v>
      </c>
      <c r="G6">
        <v>0</v>
      </c>
      <c r="H6">
        <v>10</v>
      </c>
      <c r="I6">
        <v>19</v>
      </c>
      <c r="J6">
        <v>1</v>
      </c>
      <c r="K6">
        <v>2</v>
      </c>
      <c r="L6">
        <v>15</v>
      </c>
      <c r="M6">
        <v>14</v>
      </c>
      <c r="N6">
        <v>17</v>
      </c>
      <c r="O6">
        <v>19</v>
      </c>
      <c r="P6">
        <v>20</v>
      </c>
      <c r="Q6">
        <v>22</v>
      </c>
      <c r="R6">
        <v>1</v>
      </c>
      <c r="S6">
        <v>0</v>
      </c>
      <c r="T6">
        <v>0</v>
      </c>
      <c r="U6">
        <v>9</v>
      </c>
      <c r="V6">
        <v>4</v>
      </c>
      <c r="W6">
        <v>1</v>
      </c>
      <c r="X6">
        <v>0</v>
      </c>
      <c r="Y6">
        <v>9</v>
      </c>
      <c r="Z6">
        <v>5</v>
      </c>
      <c r="AA6">
        <v>0</v>
      </c>
      <c r="AB6">
        <v>0</v>
      </c>
      <c r="AC6">
        <v>12</v>
      </c>
      <c r="AD6">
        <v>8</v>
      </c>
      <c r="AE6">
        <v>0</v>
      </c>
      <c r="AF6">
        <v>1</v>
      </c>
      <c r="AG6">
        <v>10</v>
      </c>
      <c r="AH6">
        <v>5</v>
      </c>
      <c r="AI6">
        <v>0</v>
      </c>
      <c r="AJ6">
        <v>0</v>
      </c>
      <c r="AK6">
        <v>15</v>
      </c>
      <c r="AL6">
        <v>8</v>
      </c>
      <c r="AM6">
        <v>0</v>
      </c>
      <c r="AN6">
        <v>0</v>
      </c>
      <c r="AO6">
        <v>14</v>
      </c>
      <c r="AP6">
        <v>3</v>
      </c>
      <c r="AQ6">
        <v>3</v>
      </c>
      <c r="AR6">
        <v>3</v>
      </c>
      <c r="AS6">
        <v>4</v>
      </c>
      <c r="AT6">
        <v>3</v>
      </c>
      <c r="AU6">
        <v>5</v>
      </c>
      <c r="AV6">
        <v>1</v>
      </c>
      <c r="AW6">
        <v>1</v>
      </c>
      <c r="AX6">
        <v>2</v>
      </c>
      <c r="AY6">
        <v>2</v>
      </c>
      <c r="AZ6">
        <v>2</v>
      </c>
      <c r="BA6">
        <v>2</v>
      </c>
    </row>
    <row r="7" spans="1:55" x14ac:dyDescent="0.3">
      <c r="A7" s="1" t="s">
        <v>33</v>
      </c>
      <c r="B7" s="1" t="s">
        <v>28</v>
      </c>
      <c r="C7" t="s">
        <v>34</v>
      </c>
      <c r="D7" s="1" t="s">
        <v>35</v>
      </c>
      <c r="E7" s="1" t="s">
        <v>36</v>
      </c>
      <c r="F7" t="s">
        <v>32</v>
      </c>
      <c r="G7">
        <v>0</v>
      </c>
      <c r="H7">
        <v>36</v>
      </c>
      <c r="I7">
        <v>72</v>
      </c>
      <c r="J7">
        <v>5</v>
      </c>
      <c r="K7">
        <v>6</v>
      </c>
      <c r="L7">
        <v>58</v>
      </c>
      <c r="M7">
        <v>67</v>
      </c>
      <c r="N7">
        <v>70</v>
      </c>
      <c r="O7">
        <v>85</v>
      </c>
      <c r="P7">
        <v>81</v>
      </c>
      <c r="Q7">
        <v>109</v>
      </c>
      <c r="R7">
        <v>2</v>
      </c>
      <c r="S7">
        <v>2</v>
      </c>
      <c r="T7">
        <v>2</v>
      </c>
      <c r="U7">
        <v>30</v>
      </c>
      <c r="V7">
        <v>8</v>
      </c>
      <c r="W7">
        <v>3</v>
      </c>
      <c r="X7">
        <v>1</v>
      </c>
      <c r="Y7">
        <v>55</v>
      </c>
      <c r="Z7">
        <v>9</v>
      </c>
      <c r="AA7">
        <v>6</v>
      </c>
      <c r="AB7">
        <v>3</v>
      </c>
      <c r="AC7">
        <v>52</v>
      </c>
      <c r="AD7">
        <v>7</v>
      </c>
      <c r="AE7">
        <v>4</v>
      </c>
      <c r="AF7">
        <v>1</v>
      </c>
      <c r="AG7">
        <v>73</v>
      </c>
      <c r="AH7">
        <v>13</v>
      </c>
      <c r="AI7">
        <v>5</v>
      </c>
      <c r="AJ7">
        <v>2</v>
      </c>
      <c r="AK7">
        <v>61</v>
      </c>
      <c r="AL7">
        <v>15</v>
      </c>
      <c r="AM7">
        <v>5</v>
      </c>
      <c r="AN7">
        <v>2</v>
      </c>
      <c r="AO7">
        <v>87</v>
      </c>
      <c r="AP7">
        <v>8</v>
      </c>
      <c r="AQ7">
        <v>9</v>
      </c>
      <c r="AR7">
        <v>9</v>
      </c>
      <c r="AS7">
        <v>11</v>
      </c>
      <c r="AT7">
        <v>10</v>
      </c>
      <c r="AU7">
        <v>14</v>
      </c>
      <c r="AV7">
        <v>6</v>
      </c>
      <c r="AW7">
        <v>7</v>
      </c>
      <c r="AX7">
        <v>8</v>
      </c>
      <c r="AY7">
        <v>9</v>
      </c>
      <c r="AZ7">
        <v>9</v>
      </c>
      <c r="BA7">
        <v>12</v>
      </c>
    </row>
    <row r="8" spans="1:55" x14ac:dyDescent="0.3">
      <c r="A8" s="1" t="s">
        <v>37</v>
      </c>
      <c r="B8" s="1" t="s">
        <v>28</v>
      </c>
      <c r="C8" t="s">
        <v>38</v>
      </c>
      <c r="D8" s="1" t="s">
        <v>39</v>
      </c>
      <c r="E8" s="1" t="s">
        <v>40</v>
      </c>
      <c r="F8" t="s">
        <v>32</v>
      </c>
      <c r="G8">
        <v>0</v>
      </c>
      <c r="H8">
        <v>18</v>
      </c>
      <c r="I8">
        <v>35</v>
      </c>
      <c r="J8">
        <v>3</v>
      </c>
      <c r="K8">
        <v>3</v>
      </c>
      <c r="L8">
        <v>10</v>
      </c>
      <c r="M8">
        <v>13</v>
      </c>
      <c r="N8">
        <v>12</v>
      </c>
      <c r="O8">
        <v>14</v>
      </c>
      <c r="P8">
        <v>13</v>
      </c>
      <c r="Q8">
        <v>19</v>
      </c>
      <c r="R8">
        <v>0</v>
      </c>
      <c r="S8">
        <v>2</v>
      </c>
      <c r="T8">
        <v>2</v>
      </c>
      <c r="U8">
        <v>14</v>
      </c>
      <c r="V8">
        <v>2</v>
      </c>
      <c r="W8">
        <v>3</v>
      </c>
      <c r="X8">
        <v>2</v>
      </c>
      <c r="Y8">
        <v>6</v>
      </c>
      <c r="Z8">
        <v>2</v>
      </c>
      <c r="AA8">
        <v>1</v>
      </c>
      <c r="AB8">
        <v>0</v>
      </c>
      <c r="AC8">
        <v>9</v>
      </c>
      <c r="AD8">
        <v>2</v>
      </c>
      <c r="AE8">
        <v>3</v>
      </c>
      <c r="AF8">
        <v>1</v>
      </c>
      <c r="AG8">
        <v>8</v>
      </c>
      <c r="AH8">
        <v>1</v>
      </c>
      <c r="AI8">
        <v>2</v>
      </c>
      <c r="AJ8">
        <v>1</v>
      </c>
      <c r="AK8">
        <v>9</v>
      </c>
      <c r="AL8">
        <v>1</v>
      </c>
      <c r="AM8">
        <v>4</v>
      </c>
      <c r="AN8">
        <v>2</v>
      </c>
      <c r="AO8">
        <v>12</v>
      </c>
      <c r="AP8">
        <v>4</v>
      </c>
      <c r="AQ8">
        <v>4</v>
      </c>
      <c r="AR8">
        <v>5</v>
      </c>
      <c r="AS8">
        <v>5</v>
      </c>
      <c r="AT8">
        <v>5</v>
      </c>
      <c r="AU8">
        <v>7</v>
      </c>
      <c r="AV8">
        <v>4</v>
      </c>
      <c r="AW8">
        <v>4</v>
      </c>
      <c r="AX8">
        <v>5</v>
      </c>
      <c r="AY8">
        <v>5</v>
      </c>
      <c r="AZ8">
        <v>5</v>
      </c>
      <c r="BA8">
        <v>7</v>
      </c>
    </row>
    <row r="9" spans="1:55" x14ac:dyDescent="0.3">
      <c r="A9" s="1" t="s">
        <v>41</v>
      </c>
      <c r="B9" s="1" t="s">
        <v>28</v>
      </c>
      <c r="C9" t="s">
        <v>42</v>
      </c>
      <c r="D9" s="1" t="s">
        <v>43</v>
      </c>
      <c r="E9" s="1" t="s">
        <v>44</v>
      </c>
      <c r="F9" t="s">
        <v>32</v>
      </c>
      <c r="G9">
        <v>0</v>
      </c>
      <c r="H9">
        <v>5</v>
      </c>
      <c r="I9">
        <v>80</v>
      </c>
      <c r="J9">
        <v>8</v>
      </c>
      <c r="K9">
        <v>11</v>
      </c>
      <c r="L9">
        <v>5</v>
      </c>
      <c r="M9">
        <v>6</v>
      </c>
      <c r="N9">
        <v>5</v>
      </c>
      <c r="O9">
        <v>7</v>
      </c>
      <c r="P9">
        <v>6</v>
      </c>
      <c r="Q9">
        <v>9</v>
      </c>
      <c r="R9">
        <v>0</v>
      </c>
      <c r="S9">
        <v>1</v>
      </c>
      <c r="T9">
        <v>1</v>
      </c>
      <c r="U9">
        <v>3</v>
      </c>
      <c r="V9">
        <v>1</v>
      </c>
      <c r="W9">
        <v>1</v>
      </c>
      <c r="X9">
        <v>1</v>
      </c>
      <c r="Y9">
        <v>3</v>
      </c>
      <c r="Z9">
        <v>0</v>
      </c>
      <c r="AA9">
        <v>1</v>
      </c>
      <c r="AB9">
        <v>1</v>
      </c>
      <c r="AC9">
        <v>3</v>
      </c>
      <c r="AD9">
        <v>2</v>
      </c>
      <c r="AE9">
        <v>2</v>
      </c>
      <c r="AF9">
        <v>1</v>
      </c>
      <c r="AG9">
        <v>2</v>
      </c>
      <c r="AH9">
        <v>0</v>
      </c>
      <c r="AI9">
        <v>1</v>
      </c>
      <c r="AJ9">
        <v>1</v>
      </c>
      <c r="AK9">
        <v>4</v>
      </c>
      <c r="AL9">
        <v>0</v>
      </c>
      <c r="AM9">
        <v>1</v>
      </c>
      <c r="AN9">
        <v>1</v>
      </c>
      <c r="AO9">
        <v>7</v>
      </c>
      <c r="AP9">
        <v>13</v>
      </c>
      <c r="AQ9">
        <v>16</v>
      </c>
      <c r="AR9">
        <v>17</v>
      </c>
      <c r="AS9">
        <v>20</v>
      </c>
      <c r="AT9">
        <v>19</v>
      </c>
      <c r="AU9">
        <v>25</v>
      </c>
      <c r="AV9">
        <v>10</v>
      </c>
      <c r="AW9">
        <v>12</v>
      </c>
      <c r="AX9">
        <v>12</v>
      </c>
      <c r="AY9">
        <v>14</v>
      </c>
      <c r="AZ9">
        <v>14</v>
      </c>
      <c r="BA9">
        <v>18</v>
      </c>
    </row>
    <row r="10" spans="1:55" x14ac:dyDescent="0.3">
      <c r="A10" s="1" t="s">
        <v>45</v>
      </c>
      <c r="B10" s="1" t="s">
        <v>46</v>
      </c>
      <c r="C10" t="s">
        <v>47</v>
      </c>
      <c r="D10" s="1" t="s">
        <v>48</v>
      </c>
      <c r="E10" s="1" t="s">
        <v>49</v>
      </c>
      <c r="F10" t="s">
        <v>32</v>
      </c>
      <c r="G10">
        <v>0</v>
      </c>
      <c r="H10">
        <v>5</v>
      </c>
      <c r="I10">
        <v>18</v>
      </c>
      <c r="J10">
        <v>1</v>
      </c>
      <c r="K10">
        <v>2</v>
      </c>
      <c r="L10">
        <v>7</v>
      </c>
      <c r="M10">
        <v>8</v>
      </c>
      <c r="N10">
        <v>8</v>
      </c>
      <c r="O10">
        <v>10</v>
      </c>
      <c r="P10">
        <v>8</v>
      </c>
      <c r="Q10">
        <v>12</v>
      </c>
      <c r="R10">
        <v>0</v>
      </c>
      <c r="S10">
        <v>0</v>
      </c>
      <c r="T10">
        <v>0</v>
      </c>
      <c r="U10">
        <v>5</v>
      </c>
      <c r="V10">
        <v>1</v>
      </c>
      <c r="W10">
        <v>1</v>
      </c>
      <c r="X10">
        <v>0</v>
      </c>
      <c r="Y10">
        <v>6</v>
      </c>
      <c r="Z10">
        <v>0</v>
      </c>
      <c r="AA10">
        <v>0</v>
      </c>
      <c r="AB10">
        <v>0</v>
      </c>
      <c r="AC10">
        <v>8</v>
      </c>
      <c r="AD10">
        <v>1</v>
      </c>
      <c r="AE10">
        <v>0</v>
      </c>
      <c r="AF10">
        <v>0</v>
      </c>
      <c r="AG10">
        <v>9</v>
      </c>
      <c r="AH10">
        <v>0</v>
      </c>
      <c r="AI10">
        <v>0</v>
      </c>
      <c r="AJ10">
        <v>0</v>
      </c>
      <c r="AK10">
        <v>8</v>
      </c>
      <c r="AL10">
        <v>1</v>
      </c>
      <c r="AM10">
        <v>0</v>
      </c>
      <c r="AN10">
        <v>0</v>
      </c>
      <c r="AO10">
        <v>11</v>
      </c>
      <c r="AP10">
        <v>3</v>
      </c>
      <c r="AQ10">
        <v>3</v>
      </c>
      <c r="AR10">
        <v>3</v>
      </c>
      <c r="AS10">
        <v>4</v>
      </c>
      <c r="AT10">
        <v>3</v>
      </c>
      <c r="AU10">
        <v>5</v>
      </c>
      <c r="AV10">
        <v>1</v>
      </c>
      <c r="AW10">
        <v>1</v>
      </c>
      <c r="AX10">
        <v>2</v>
      </c>
      <c r="AY10">
        <v>2</v>
      </c>
      <c r="AZ10">
        <v>2</v>
      </c>
      <c r="BA10">
        <v>2</v>
      </c>
    </row>
    <row r="11" spans="1:55" x14ac:dyDescent="0.3">
      <c r="A11" s="1" t="s">
        <v>50</v>
      </c>
      <c r="B11" s="1" t="s">
        <v>51</v>
      </c>
      <c r="C11" t="s">
        <v>52</v>
      </c>
      <c r="D11" s="1" t="s">
        <v>53</v>
      </c>
      <c r="E11" s="1" t="s">
        <v>54</v>
      </c>
      <c r="F11" s="1" t="s">
        <v>55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5" x14ac:dyDescent="0.3">
      <c r="A12" s="1" t="s">
        <v>56</v>
      </c>
      <c r="B12" s="1" t="s">
        <v>57</v>
      </c>
      <c r="C12" t="s">
        <v>58</v>
      </c>
      <c r="D12" s="1" t="s">
        <v>59</v>
      </c>
      <c r="E12" s="1" t="s">
        <v>60</v>
      </c>
      <c r="F12" s="1" t="s">
        <v>61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5" x14ac:dyDescent="0.3">
      <c r="A13" s="1" t="s">
        <v>62</v>
      </c>
      <c r="B13" s="1" t="s">
        <v>63</v>
      </c>
      <c r="C13" t="s">
        <v>64</v>
      </c>
      <c r="D13" s="1" t="s">
        <v>65</v>
      </c>
      <c r="E13" s="1" t="s">
        <v>66</v>
      </c>
      <c r="F13" s="1" t="s">
        <v>55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5" x14ac:dyDescent="0.3">
      <c r="A14" s="1" t="s">
        <v>67</v>
      </c>
      <c r="B14" s="1" t="s">
        <v>68</v>
      </c>
      <c r="C14" t="s">
        <v>69</v>
      </c>
      <c r="D14" s="1" t="s">
        <v>70</v>
      </c>
      <c r="E14" s="1" t="s">
        <v>71</v>
      </c>
      <c r="F14" s="1" t="s">
        <v>55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5" x14ac:dyDescent="0.3">
      <c r="A15" s="1" t="s">
        <v>72</v>
      </c>
      <c r="B15" s="1" t="s">
        <v>73</v>
      </c>
      <c r="C15" t="s">
        <v>74</v>
      </c>
      <c r="D15" s="1" t="s">
        <v>75</v>
      </c>
      <c r="E15" s="1" t="s">
        <v>76</v>
      </c>
      <c r="F15" s="1" t="s">
        <v>55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5" x14ac:dyDescent="0.3">
      <c r="A16" s="1" t="s">
        <v>77</v>
      </c>
      <c r="B16" s="1" t="s">
        <v>28</v>
      </c>
      <c r="C16" t="s">
        <v>78</v>
      </c>
      <c r="D16" s="1" t="s">
        <v>79</v>
      </c>
      <c r="E16" s="1" t="s">
        <v>80</v>
      </c>
      <c r="F16" s="1" t="s">
        <v>55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3">
      <c r="A17" s="1" t="s">
        <v>81</v>
      </c>
      <c r="B17" s="1" t="s">
        <v>82</v>
      </c>
      <c r="C17" t="s">
        <v>83</v>
      </c>
      <c r="D17" s="1" t="s">
        <v>84</v>
      </c>
      <c r="E17" s="1" t="s">
        <v>85</v>
      </c>
      <c r="F17" s="1" t="s">
        <v>55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3">
      <c r="A18" s="1" t="s">
        <v>86</v>
      </c>
      <c r="B18" s="1" t="s">
        <v>87</v>
      </c>
      <c r="C18" t="s">
        <v>88</v>
      </c>
      <c r="D18" s="1" t="s">
        <v>89</v>
      </c>
      <c r="E18" s="1" t="s">
        <v>90</v>
      </c>
      <c r="F18" s="1" t="s">
        <v>55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 x14ac:dyDescent="0.3">
      <c r="A19" s="1" t="s">
        <v>91</v>
      </c>
      <c r="B19" s="1" t="s">
        <v>92</v>
      </c>
      <c r="C19" t="s">
        <v>93</v>
      </c>
      <c r="D19" s="1" t="s">
        <v>94</v>
      </c>
      <c r="E19" s="1" t="s">
        <v>95</v>
      </c>
      <c r="F19" s="1" t="s">
        <v>55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3">
      <c r="A20" s="1" t="s">
        <v>96</v>
      </c>
      <c r="B20" s="1" t="s">
        <v>97</v>
      </c>
      <c r="C20" t="s">
        <v>98</v>
      </c>
      <c r="D20" s="1" t="s">
        <v>99</v>
      </c>
      <c r="E20" s="1" t="s">
        <v>100</v>
      </c>
      <c r="F20" s="1" t="s">
        <v>55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 x14ac:dyDescent="0.3">
      <c r="A21" s="1" t="s">
        <v>101</v>
      </c>
      <c r="B21" s="1" t="s">
        <v>102</v>
      </c>
      <c r="C21" t="s">
        <v>103</v>
      </c>
      <c r="D21" s="1" t="s">
        <v>104</v>
      </c>
      <c r="E21" s="1" t="s">
        <v>105</v>
      </c>
      <c r="F21" s="1" t="s">
        <v>55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 x14ac:dyDescent="0.3">
      <c r="A22" s="1" t="s">
        <v>106</v>
      </c>
      <c r="B22" s="1" t="s">
        <v>107</v>
      </c>
      <c r="C22" t="s">
        <v>108</v>
      </c>
      <c r="D22" s="1" t="s">
        <v>109</v>
      </c>
      <c r="E22" s="1" t="s">
        <v>110</v>
      </c>
      <c r="F22" s="1" t="s">
        <v>55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spans="1:53" x14ac:dyDescent="0.3">
      <c r="A23" s="1" t="s">
        <v>111</v>
      </c>
      <c r="B23" s="1" t="s">
        <v>112</v>
      </c>
      <c r="C23" t="s">
        <v>113</v>
      </c>
      <c r="D23" s="1" t="s">
        <v>114</v>
      </c>
      <c r="E23" s="1" t="s">
        <v>115</v>
      </c>
      <c r="F23" s="1" t="s">
        <v>55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 x14ac:dyDescent="0.3">
      <c r="A24" s="1" t="s">
        <v>116</v>
      </c>
      <c r="B24" s="1" t="s">
        <v>117</v>
      </c>
      <c r="C24" t="s">
        <v>118</v>
      </c>
      <c r="D24" s="1" t="s">
        <v>119</v>
      </c>
      <c r="E24" s="1" t="s">
        <v>120</v>
      </c>
      <c r="F24" s="1" t="s">
        <v>55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 x14ac:dyDescent="0.3">
      <c r="A25" s="1" t="s">
        <v>121</v>
      </c>
      <c r="B25" s="1" t="s">
        <v>122</v>
      </c>
      <c r="C25" t="s">
        <v>123</v>
      </c>
      <c r="D25" s="1" t="s">
        <v>124</v>
      </c>
      <c r="E25" s="1" t="s">
        <v>125</v>
      </c>
      <c r="F25" s="1" t="s">
        <v>55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 x14ac:dyDescent="0.3">
      <c r="A26" s="1" t="s">
        <v>126</v>
      </c>
      <c r="B26" s="1" t="s">
        <v>127</v>
      </c>
      <c r="C26" t="s">
        <v>128</v>
      </c>
      <c r="D26" s="1" t="s">
        <v>129</v>
      </c>
      <c r="E26" s="1" t="s">
        <v>130</v>
      </c>
      <c r="F26" s="1" t="s">
        <v>55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 x14ac:dyDescent="0.3">
      <c r="A27" s="1" t="s">
        <v>131</v>
      </c>
      <c r="B27" s="1" t="s">
        <v>28</v>
      </c>
      <c r="C27" t="s">
        <v>132</v>
      </c>
      <c r="D27" s="1" t="s">
        <v>133</v>
      </c>
      <c r="E27" s="1" t="s">
        <v>134</v>
      </c>
      <c r="F27" s="1" t="s">
        <v>55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 x14ac:dyDescent="0.3">
      <c r="A28" s="1" t="s">
        <v>135</v>
      </c>
      <c r="B28" s="1" t="s">
        <v>136</v>
      </c>
      <c r="C28" t="s">
        <v>137</v>
      </c>
      <c r="D28" s="1" t="s">
        <v>138</v>
      </c>
      <c r="E28" s="1" t="s">
        <v>139</v>
      </c>
      <c r="F28" s="1" t="s">
        <v>55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3">
      <c r="A29" s="1" t="s">
        <v>140</v>
      </c>
      <c r="B29" s="1" t="s">
        <v>141</v>
      </c>
      <c r="C29" t="s">
        <v>142</v>
      </c>
      <c r="D29" s="1" t="s">
        <v>143</v>
      </c>
      <c r="E29" s="1" t="s">
        <v>144</v>
      </c>
      <c r="F29" s="1" t="s">
        <v>55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x14ac:dyDescent="0.3">
      <c r="A30" s="1" t="s">
        <v>145</v>
      </c>
      <c r="B30" s="1" t="s">
        <v>146</v>
      </c>
      <c r="C30" t="s">
        <v>147</v>
      </c>
      <c r="D30" s="1" t="s">
        <v>148</v>
      </c>
      <c r="E30" s="1" t="s">
        <v>149</v>
      </c>
      <c r="F30" s="1" t="s">
        <v>55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 x14ac:dyDescent="0.3">
      <c r="A31" s="1" t="s">
        <v>150</v>
      </c>
      <c r="B31" s="1" t="s">
        <v>151</v>
      </c>
      <c r="C31" t="s">
        <v>152</v>
      </c>
      <c r="D31" s="1" t="s">
        <v>153</v>
      </c>
      <c r="E31" s="1" t="s">
        <v>154</v>
      </c>
      <c r="F31" s="1" t="s">
        <v>55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 spans="1:53" x14ac:dyDescent="0.3">
      <c r="A32" s="1" t="s">
        <v>155</v>
      </c>
      <c r="B32" s="1" t="s">
        <v>28</v>
      </c>
      <c r="C32" t="s">
        <v>156</v>
      </c>
      <c r="D32" s="1" t="s">
        <v>157</v>
      </c>
      <c r="E32" s="1" t="s">
        <v>158</v>
      </c>
      <c r="F32" s="1" t="s">
        <v>55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3">
      <c r="A33" s="1" t="s">
        <v>159</v>
      </c>
      <c r="B33" s="1" t="s">
        <v>160</v>
      </c>
      <c r="C33" t="s">
        <v>161</v>
      </c>
      <c r="D33" s="1" t="s">
        <v>162</v>
      </c>
      <c r="E33" s="1" t="s">
        <v>163</v>
      </c>
      <c r="F33" s="1" t="s">
        <v>55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3">
      <c r="A34" s="1" t="s">
        <v>164</v>
      </c>
      <c r="B34" s="1" t="s">
        <v>165</v>
      </c>
      <c r="C34" t="s">
        <v>166</v>
      </c>
      <c r="D34" s="1" t="s">
        <v>167</v>
      </c>
      <c r="E34" s="1" t="s">
        <v>168</v>
      </c>
      <c r="F34" s="1" t="s">
        <v>55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x14ac:dyDescent="0.3">
      <c r="A35" s="1" t="s">
        <v>169</v>
      </c>
      <c r="B35" s="1" t="s">
        <v>170</v>
      </c>
      <c r="C35" t="s">
        <v>171</v>
      </c>
      <c r="D35" s="1" t="s">
        <v>172</v>
      </c>
      <c r="E35" s="1" t="s">
        <v>173</v>
      </c>
      <c r="F35" s="1" t="s">
        <v>55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x14ac:dyDescent="0.3">
      <c r="A36" s="1" t="s">
        <v>174</v>
      </c>
      <c r="B36" s="1" t="s">
        <v>175</v>
      </c>
      <c r="C36" t="s">
        <v>176</v>
      </c>
      <c r="D36" s="1" t="s">
        <v>177</v>
      </c>
      <c r="E36" s="1" t="s">
        <v>178</v>
      </c>
      <c r="F36" s="1" t="s">
        <v>55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 x14ac:dyDescent="0.3">
      <c r="A37" s="1" t="s">
        <v>179</v>
      </c>
      <c r="B37" s="1" t="s">
        <v>180</v>
      </c>
      <c r="C37" t="s">
        <v>181</v>
      </c>
      <c r="D37" s="1" t="s">
        <v>182</v>
      </c>
      <c r="E37" s="1" t="s">
        <v>183</v>
      </c>
      <c r="F37" s="1" t="s">
        <v>55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 x14ac:dyDescent="0.3">
      <c r="A38" s="1" t="s">
        <v>184</v>
      </c>
      <c r="B38" s="1" t="s">
        <v>185</v>
      </c>
      <c r="C38" t="s">
        <v>186</v>
      </c>
      <c r="D38" s="1" t="s">
        <v>187</v>
      </c>
      <c r="E38" s="1" t="s">
        <v>188</v>
      </c>
      <c r="F38" s="1" t="s">
        <v>55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 x14ac:dyDescent="0.3">
      <c r="A39" s="1" t="s">
        <v>189</v>
      </c>
      <c r="B39" s="1" t="s">
        <v>190</v>
      </c>
      <c r="C39" t="s">
        <v>191</v>
      </c>
      <c r="D39" s="1" t="s">
        <v>192</v>
      </c>
      <c r="E39" s="1" t="s">
        <v>193</v>
      </c>
      <c r="F39" s="1" t="s">
        <v>55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 spans="1:53" x14ac:dyDescent="0.3">
      <c r="A40" s="1" t="s">
        <v>194</v>
      </c>
      <c r="B40" s="1" t="s">
        <v>195</v>
      </c>
      <c r="C40" t="s">
        <v>196</v>
      </c>
      <c r="D40" s="1" t="s">
        <v>197</v>
      </c>
      <c r="E40" s="1" t="s">
        <v>198</v>
      </c>
      <c r="F40" s="1" t="s">
        <v>55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spans="1:53" x14ac:dyDescent="0.3">
      <c r="A41" s="1" t="s">
        <v>199</v>
      </c>
      <c r="B41" s="1" t="s">
        <v>200</v>
      </c>
      <c r="C41" t="s">
        <v>201</v>
      </c>
      <c r="D41" s="1" t="s">
        <v>202</v>
      </c>
      <c r="E41" s="1" t="s">
        <v>203</v>
      </c>
      <c r="F41" s="1" t="s">
        <v>55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3">
      <c r="A42" s="1" t="s">
        <v>217</v>
      </c>
      <c r="B42" s="1" t="s">
        <v>312</v>
      </c>
      <c r="C42" t="s">
        <v>313</v>
      </c>
      <c r="D42" s="1" t="s">
        <v>314</v>
      </c>
      <c r="E42" s="1" t="s">
        <v>315</v>
      </c>
      <c r="F42" s="1" t="s">
        <v>55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spans="1:53" x14ac:dyDescent="0.3">
      <c r="A43" s="1" t="s">
        <v>204</v>
      </c>
      <c r="B43" s="1" t="s">
        <v>205</v>
      </c>
      <c r="C43" t="s">
        <v>206</v>
      </c>
      <c r="D43" s="1" t="s">
        <v>207</v>
      </c>
      <c r="E43" s="1" t="s">
        <v>208</v>
      </c>
      <c r="F43" s="1" t="s">
        <v>11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 x14ac:dyDescent="0.3">
      <c r="A44" s="1" t="s">
        <v>209</v>
      </c>
      <c r="B44" s="1" t="s">
        <v>210</v>
      </c>
      <c r="C44" t="s">
        <v>211</v>
      </c>
      <c r="D44" s="1" t="s">
        <v>212</v>
      </c>
      <c r="E44" s="1" t="s">
        <v>213</v>
      </c>
      <c r="F44" s="1" t="s">
        <v>32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21A7E-CAC7-44CB-99AA-E402E30B40F7}">
  <dimension ref="A1:R141"/>
  <sheetViews>
    <sheetView tabSelected="1" workbookViewId="0">
      <selection activeCell="O2" sqref="O2:O123"/>
    </sheetView>
  </sheetViews>
  <sheetFormatPr defaultRowHeight="14.4" x14ac:dyDescent="0.3"/>
  <cols>
    <col min="15" max="15" width="10.5546875" customWidth="1"/>
  </cols>
  <sheetData>
    <row r="1" spans="1:18" x14ac:dyDescent="0.3">
      <c r="A1" s="1" t="s">
        <v>0</v>
      </c>
      <c r="B1" s="1" t="s">
        <v>214</v>
      </c>
      <c r="C1" s="1" t="s">
        <v>215</v>
      </c>
      <c r="D1" t="s">
        <v>216</v>
      </c>
      <c r="E1" s="1" t="s">
        <v>319</v>
      </c>
      <c r="F1" s="1" t="s">
        <v>323</v>
      </c>
      <c r="G1" s="1" t="s">
        <v>326</v>
      </c>
      <c r="H1" s="1" t="s">
        <v>336</v>
      </c>
      <c r="I1" t="s">
        <v>342</v>
      </c>
      <c r="J1" t="s">
        <v>347</v>
      </c>
      <c r="K1" t="s">
        <v>375</v>
      </c>
      <c r="L1" t="s">
        <v>334</v>
      </c>
      <c r="M1" t="s">
        <v>400</v>
      </c>
      <c r="N1" s="1" t="s">
        <v>370</v>
      </c>
      <c r="O1" t="s">
        <v>356</v>
      </c>
      <c r="P1" t="s">
        <v>349</v>
      </c>
    </row>
    <row r="2" spans="1:18" x14ac:dyDescent="0.3">
      <c r="A2" s="1" t="s">
        <v>6</v>
      </c>
      <c r="B2" s="1" t="s">
        <v>6</v>
      </c>
      <c r="C2" s="1" t="s">
        <v>62</v>
      </c>
      <c r="D2" s="2">
        <v>13.555943937177391</v>
      </c>
      <c r="E2">
        <v>2</v>
      </c>
      <c r="F2" s="1" t="s">
        <v>295</v>
      </c>
      <c r="G2" s="1"/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f>ROUND(L2*1.3,0)</f>
        <v>0</v>
      </c>
      <c r="O2">
        <v>6</v>
      </c>
      <c r="P2">
        <v>2</v>
      </c>
    </row>
    <row r="3" spans="1:18" x14ac:dyDescent="0.3">
      <c r="A3" s="1" t="s">
        <v>12</v>
      </c>
      <c r="B3" s="1" t="s">
        <v>6</v>
      </c>
      <c r="C3" s="1" t="s">
        <v>155</v>
      </c>
      <c r="D3" s="2">
        <v>46.788942735990872</v>
      </c>
      <c r="E3">
        <v>6</v>
      </c>
      <c r="F3" s="1" t="s">
        <v>301</v>
      </c>
      <c r="G3" s="1" t="s">
        <v>281</v>
      </c>
      <c r="H3">
        <v>0</v>
      </c>
      <c r="I3">
        <v>0</v>
      </c>
      <c r="J3">
        <v>0</v>
      </c>
      <c r="K3">
        <v>0</v>
      </c>
      <c r="L3" s="1">
        <v>0</v>
      </c>
      <c r="M3">
        <v>0</v>
      </c>
      <c r="N3">
        <f t="shared" ref="N3:N66" si="0">ROUND(L3*1.3,0)</f>
        <v>0</v>
      </c>
      <c r="O3">
        <v>36</v>
      </c>
      <c r="P3">
        <v>6</v>
      </c>
    </row>
    <row r="4" spans="1:18" x14ac:dyDescent="0.3">
      <c r="A4" s="1" t="s">
        <v>17</v>
      </c>
      <c r="B4" s="1" t="s">
        <v>6</v>
      </c>
      <c r="C4" s="1" t="s">
        <v>174</v>
      </c>
      <c r="D4" s="2">
        <v>16.474316860029141</v>
      </c>
      <c r="E4">
        <v>4</v>
      </c>
      <c r="F4" s="1" t="s">
        <v>305</v>
      </c>
      <c r="G4" s="1">
        <v>90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f t="shared" si="0"/>
        <v>0</v>
      </c>
      <c r="O4">
        <v>26</v>
      </c>
      <c r="P4">
        <v>5</v>
      </c>
    </row>
    <row r="5" spans="1:18" x14ac:dyDescent="0.3">
      <c r="A5" s="1" t="s">
        <v>22</v>
      </c>
      <c r="B5" s="1" t="s">
        <v>12</v>
      </c>
      <c r="C5" s="1" t="s">
        <v>174</v>
      </c>
      <c r="D5" s="2">
        <v>4.391580784857017</v>
      </c>
      <c r="E5">
        <v>1</v>
      </c>
      <c r="F5" s="1" t="s">
        <v>320</v>
      </c>
      <c r="G5" s="1"/>
      <c r="H5">
        <v>0</v>
      </c>
      <c r="I5">
        <v>0</v>
      </c>
      <c r="J5">
        <v>0</v>
      </c>
      <c r="K5">
        <v>0</v>
      </c>
      <c r="L5" s="1">
        <v>0</v>
      </c>
      <c r="M5">
        <v>0</v>
      </c>
      <c r="N5">
        <f t="shared" si="0"/>
        <v>0</v>
      </c>
      <c r="O5">
        <v>3</v>
      </c>
      <c r="P5">
        <v>1</v>
      </c>
    </row>
    <row r="6" spans="1:18" x14ac:dyDescent="0.3">
      <c r="A6" s="1" t="s">
        <v>27</v>
      </c>
      <c r="B6" s="1" t="s">
        <v>17</v>
      </c>
      <c r="C6" s="1" t="s">
        <v>179</v>
      </c>
      <c r="D6" s="2">
        <v>54.090172208685452</v>
      </c>
      <c r="E6">
        <v>2</v>
      </c>
      <c r="F6" s="1" t="s">
        <v>320</v>
      </c>
      <c r="G6" s="1"/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f t="shared" si="0"/>
        <v>0</v>
      </c>
      <c r="O6">
        <v>2</v>
      </c>
      <c r="P6">
        <v>5</v>
      </c>
    </row>
    <row r="7" spans="1:18" x14ac:dyDescent="0.3">
      <c r="A7" s="1" t="s">
        <v>33</v>
      </c>
      <c r="B7" s="1" t="s">
        <v>22</v>
      </c>
      <c r="C7" s="1" t="s">
        <v>72</v>
      </c>
      <c r="D7" s="2">
        <v>6.6600972009983836</v>
      </c>
      <c r="E7">
        <v>2</v>
      </c>
      <c r="F7" s="1" t="s">
        <v>320</v>
      </c>
      <c r="G7" s="1"/>
      <c r="H7">
        <v>0</v>
      </c>
      <c r="I7">
        <v>0</v>
      </c>
      <c r="J7">
        <v>0</v>
      </c>
      <c r="K7">
        <v>0</v>
      </c>
      <c r="L7" s="1">
        <v>0</v>
      </c>
      <c r="M7">
        <v>0</v>
      </c>
      <c r="N7">
        <f t="shared" si="0"/>
        <v>0</v>
      </c>
      <c r="O7">
        <v>18</v>
      </c>
      <c r="P7">
        <v>13</v>
      </c>
      <c r="R7" t="s">
        <v>55</v>
      </c>
    </row>
    <row r="8" spans="1:18" x14ac:dyDescent="0.3">
      <c r="A8" s="1" t="s">
        <v>37</v>
      </c>
      <c r="B8" s="1" t="s">
        <v>22</v>
      </c>
      <c r="C8" s="1" t="s">
        <v>217</v>
      </c>
      <c r="D8" s="2">
        <v>14</v>
      </c>
      <c r="E8">
        <v>2</v>
      </c>
      <c r="F8" s="1" t="s">
        <v>320</v>
      </c>
      <c r="G8" s="1"/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f t="shared" si="0"/>
        <v>0</v>
      </c>
      <c r="O8">
        <v>4</v>
      </c>
      <c r="P8">
        <v>13</v>
      </c>
    </row>
    <row r="9" spans="1:18" x14ac:dyDescent="0.3">
      <c r="A9" s="1" t="s">
        <v>41</v>
      </c>
      <c r="B9" s="1" t="s">
        <v>62</v>
      </c>
      <c r="C9" s="1" t="s">
        <v>50</v>
      </c>
      <c r="D9" s="2">
        <v>20.023180739473109</v>
      </c>
      <c r="E9">
        <v>0</v>
      </c>
      <c r="F9" s="1" t="s">
        <v>320</v>
      </c>
      <c r="G9" s="1" t="s">
        <v>55</v>
      </c>
      <c r="H9">
        <v>0</v>
      </c>
      <c r="I9">
        <v>0</v>
      </c>
      <c r="J9">
        <v>0</v>
      </c>
      <c r="K9">
        <v>0</v>
      </c>
      <c r="L9" s="1">
        <v>0</v>
      </c>
      <c r="M9">
        <v>0</v>
      </c>
      <c r="N9">
        <f t="shared" si="0"/>
        <v>0</v>
      </c>
      <c r="O9">
        <v>0</v>
      </c>
      <c r="P9">
        <v>14</v>
      </c>
    </row>
    <row r="10" spans="1:18" x14ac:dyDescent="0.3">
      <c r="A10" s="1" t="s">
        <v>45</v>
      </c>
      <c r="B10" s="1" t="s">
        <v>62</v>
      </c>
      <c r="C10" s="1" t="s">
        <v>67</v>
      </c>
      <c r="D10" s="2">
        <v>19.280533635433219</v>
      </c>
      <c r="E10">
        <v>2</v>
      </c>
      <c r="F10" s="1" t="s">
        <v>295</v>
      </c>
      <c r="G10" s="1"/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f t="shared" si="0"/>
        <v>0</v>
      </c>
      <c r="O10">
        <v>10</v>
      </c>
      <c r="P10">
        <v>8</v>
      </c>
    </row>
    <row r="11" spans="1:18" x14ac:dyDescent="0.3">
      <c r="A11" s="1" t="s">
        <v>50</v>
      </c>
      <c r="B11" s="1" t="s">
        <v>50</v>
      </c>
      <c r="C11" s="1" t="s">
        <v>56</v>
      </c>
      <c r="D11" s="2">
        <v>14.34829267362945</v>
      </c>
      <c r="E11">
        <v>0</v>
      </c>
      <c r="F11" s="1" t="s">
        <v>320</v>
      </c>
      <c r="G11" s="1"/>
      <c r="H11">
        <v>0</v>
      </c>
      <c r="I11">
        <v>0</v>
      </c>
      <c r="J11">
        <v>0</v>
      </c>
      <c r="K11">
        <v>0</v>
      </c>
      <c r="L11" s="1">
        <v>0</v>
      </c>
      <c r="M11">
        <v>0</v>
      </c>
      <c r="N11">
        <f t="shared" si="0"/>
        <v>0</v>
      </c>
      <c r="O11">
        <v>0</v>
      </c>
      <c r="P11">
        <v>14</v>
      </c>
    </row>
    <row r="12" spans="1:18" x14ac:dyDescent="0.3">
      <c r="A12" s="1" t="s">
        <v>56</v>
      </c>
      <c r="B12" s="1" t="s">
        <v>50</v>
      </c>
      <c r="C12" s="1" t="s">
        <v>67</v>
      </c>
      <c r="D12" s="2">
        <v>27.243028574311449</v>
      </c>
      <c r="E12">
        <v>0</v>
      </c>
      <c r="F12" s="1" t="s">
        <v>320</v>
      </c>
      <c r="G12" s="1"/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f t="shared" si="0"/>
        <v>0</v>
      </c>
      <c r="O12">
        <v>0</v>
      </c>
      <c r="P12">
        <v>8</v>
      </c>
    </row>
    <row r="13" spans="1:18" x14ac:dyDescent="0.3">
      <c r="A13" s="1" t="s">
        <v>62</v>
      </c>
      <c r="B13" s="1" t="s">
        <v>67</v>
      </c>
      <c r="C13" s="1" t="s">
        <v>81</v>
      </c>
      <c r="D13" s="2">
        <v>14.80891306554398</v>
      </c>
      <c r="E13">
        <v>2</v>
      </c>
      <c r="F13" s="1" t="s">
        <v>295</v>
      </c>
      <c r="G13" s="1"/>
      <c r="H13">
        <v>0</v>
      </c>
      <c r="I13">
        <v>0</v>
      </c>
      <c r="J13">
        <v>0</v>
      </c>
      <c r="K13">
        <v>0</v>
      </c>
      <c r="L13" s="1">
        <v>0</v>
      </c>
      <c r="M13">
        <v>0</v>
      </c>
      <c r="N13">
        <f t="shared" si="0"/>
        <v>0</v>
      </c>
      <c r="O13">
        <v>7</v>
      </c>
      <c r="P13">
        <v>16</v>
      </c>
    </row>
    <row r="14" spans="1:18" x14ac:dyDescent="0.3">
      <c r="A14" s="1" t="s">
        <v>67</v>
      </c>
      <c r="B14" s="1" t="s">
        <v>56</v>
      </c>
      <c r="C14" s="1" t="s">
        <v>72</v>
      </c>
      <c r="D14" s="2">
        <v>35.65957209659318</v>
      </c>
      <c r="E14">
        <v>0</v>
      </c>
      <c r="F14" s="1" t="s">
        <v>320</v>
      </c>
      <c r="G14" s="1"/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f t="shared" si="0"/>
        <v>0</v>
      </c>
      <c r="O14">
        <v>0</v>
      </c>
      <c r="P14">
        <v>10</v>
      </c>
    </row>
    <row r="15" spans="1:18" x14ac:dyDescent="0.3">
      <c r="A15" s="1" t="s">
        <v>72</v>
      </c>
      <c r="B15" s="1" t="s">
        <v>56</v>
      </c>
      <c r="C15" s="1" t="s">
        <v>81</v>
      </c>
      <c r="D15" s="2">
        <v>29.57967574203899</v>
      </c>
      <c r="E15">
        <v>0</v>
      </c>
      <c r="F15" s="1" t="s">
        <v>320</v>
      </c>
      <c r="G15" s="1"/>
      <c r="H15">
        <v>0</v>
      </c>
      <c r="I15">
        <v>0</v>
      </c>
      <c r="J15">
        <v>0</v>
      </c>
      <c r="K15">
        <v>0</v>
      </c>
      <c r="L15" s="1">
        <v>0</v>
      </c>
      <c r="M15">
        <v>0</v>
      </c>
      <c r="N15">
        <f t="shared" si="0"/>
        <v>0</v>
      </c>
      <c r="O15">
        <v>0</v>
      </c>
      <c r="P15">
        <v>4</v>
      </c>
    </row>
    <row r="16" spans="1:18" x14ac:dyDescent="0.3">
      <c r="A16" s="1" t="s">
        <v>77</v>
      </c>
      <c r="B16" s="1" t="s">
        <v>72</v>
      </c>
      <c r="C16" s="1" t="s">
        <v>217</v>
      </c>
      <c r="D16" s="2">
        <v>9</v>
      </c>
      <c r="E16">
        <v>2</v>
      </c>
      <c r="F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f t="shared" si="0"/>
        <v>0</v>
      </c>
      <c r="O16">
        <v>9</v>
      </c>
      <c r="P16">
        <v>13</v>
      </c>
    </row>
    <row r="17" spans="1:16" x14ac:dyDescent="0.3">
      <c r="A17" s="1" t="s">
        <v>81</v>
      </c>
      <c r="B17" s="1" t="s">
        <v>72</v>
      </c>
      <c r="C17" s="1" t="s">
        <v>77</v>
      </c>
      <c r="D17" s="2">
        <v>17.687467340063542</v>
      </c>
      <c r="E17">
        <v>2</v>
      </c>
      <c r="F17" s="1" t="s">
        <v>320</v>
      </c>
      <c r="G17" s="1"/>
      <c r="H17">
        <v>0</v>
      </c>
      <c r="I17">
        <v>0</v>
      </c>
      <c r="J17">
        <v>0</v>
      </c>
      <c r="K17">
        <v>0</v>
      </c>
      <c r="L17" s="1">
        <v>0</v>
      </c>
      <c r="M17">
        <v>0</v>
      </c>
      <c r="N17">
        <f t="shared" si="0"/>
        <v>0</v>
      </c>
      <c r="O17">
        <v>17</v>
      </c>
      <c r="P17">
        <v>19</v>
      </c>
    </row>
    <row r="18" spans="1:16" x14ac:dyDescent="0.3">
      <c r="A18" s="1" t="s">
        <v>86</v>
      </c>
      <c r="B18" s="1" t="s">
        <v>217</v>
      </c>
      <c r="C18" s="1" t="s">
        <v>91</v>
      </c>
      <c r="D18" s="2">
        <v>32</v>
      </c>
      <c r="E18">
        <v>2</v>
      </c>
      <c r="F18">
        <v>0</v>
      </c>
      <c r="G18">
        <v>36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f t="shared" si="0"/>
        <v>0</v>
      </c>
      <c r="O18">
        <v>9</v>
      </c>
      <c r="P18">
        <v>13</v>
      </c>
    </row>
    <row r="19" spans="1:16" x14ac:dyDescent="0.3">
      <c r="A19" s="1" t="s">
        <v>91</v>
      </c>
      <c r="B19" s="1" t="s">
        <v>81</v>
      </c>
      <c r="C19" s="1" t="s">
        <v>77</v>
      </c>
      <c r="D19" s="2">
        <v>11.419910378654251</v>
      </c>
      <c r="E19">
        <v>2</v>
      </c>
      <c r="F19" s="1" t="s">
        <v>295</v>
      </c>
      <c r="G19" s="1"/>
      <c r="H19">
        <v>0</v>
      </c>
      <c r="I19">
        <v>0</v>
      </c>
      <c r="J19">
        <v>0</v>
      </c>
      <c r="K19">
        <v>0</v>
      </c>
      <c r="L19" s="1">
        <v>0</v>
      </c>
      <c r="M19">
        <v>0</v>
      </c>
      <c r="N19">
        <f t="shared" si="0"/>
        <v>0</v>
      </c>
      <c r="O19">
        <v>14</v>
      </c>
      <c r="P19">
        <v>4</v>
      </c>
    </row>
    <row r="20" spans="1:16" x14ac:dyDescent="0.3">
      <c r="A20" s="1" t="s">
        <v>96</v>
      </c>
      <c r="B20" s="1" t="s">
        <v>77</v>
      </c>
      <c r="C20" s="1" t="s">
        <v>86</v>
      </c>
      <c r="D20" s="2">
        <v>11.9039000374342</v>
      </c>
      <c r="E20">
        <v>1</v>
      </c>
      <c r="F20" s="1" t="s">
        <v>320</v>
      </c>
      <c r="G20" s="1"/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f t="shared" si="0"/>
        <v>0</v>
      </c>
      <c r="O20">
        <v>18</v>
      </c>
      <c r="P20">
        <v>19</v>
      </c>
    </row>
    <row r="21" spans="1:16" x14ac:dyDescent="0.3">
      <c r="A21" s="1" t="s">
        <v>101</v>
      </c>
      <c r="B21" s="1" t="s">
        <v>86</v>
      </c>
      <c r="C21" s="1" t="s">
        <v>91</v>
      </c>
      <c r="D21" s="2">
        <v>19.441036896411159</v>
      </c>
      <c r="E21">
        <v>1</v>
      </c>
      <c r="F21" s="1" t="s">
        <v>320</v>
      </c>
      <c r="G21" s="1"/>
      <c r="H21">
        <v>0</v>
      </c>
      <c r="I21">
        <v>0</v>
      </c>
      <c r="J21">
        <v>0</v>
      </c>
      <c r="K21">
        <v>0</v>
      </c>
      <c r="L21" s="1">
        <v>0</v>
      </c>
      <c r="M21">
        <v>0</v>
      </c>
      <c r="N21">
        <f t="shared" si="0"/>
        <v>0</v>
      </c>
      <c r="O21">
        <v>2</v>
      </c>
      <c r="P21">
        <v>14</v>
      </c>
    </row>
    <row r="22" spans="1:16" x14ac:dyDescent="0.3">
      <c r="A22" s="1" t="s">
        <v>106</v>
      </c>
      <c r="B22" s="1" t="s">
        <v>86</v>
      </c>
      <c r="C22" s="1" t="s">
        <v>135</v>
      </c>
      <c r="D22" s="2">
        <v>39.500777900897617</v>
      </c>
      <c r="E22">
        <v>2</v>
      </c>
      <c r="F22" s="1" t="s">
        <v>320</v>
      </c>
      <c r="G22" s="1"/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f t="shared" si="0"/>
        <v>0</v>
      </c>
      <c r="O22">
        <v>0</v>
      </c>
      <c r="P22">
        <v>9</v>
      </c>
    </row>
    <row r="23" spans="1:16" x14ac:dyDescent="0.3">
      <c r="A23" s="1" t="s">
        <v>111</v>
      </c>
      <c r="B23" s="1" t="s">
        <v>86</v>
      </c>
      <c r="C23" s="1" t="s">
        <v>155</v>
      </c>
      <c r="D23" s="2">
        <v>28.061234215104989</v>
      </c>
      <c r="E23">
        <v>2</v>
      </c>
      <c r="F23" s="1" t="s">
        <v>320</v>
      </c>
      <c r="G23" s="1" t="s">
        <v>91</v>
      </c>
      <c r="H23">
        <v>0</v>
      </c>
      <c r="I23">
        <v>0</v>
      </c>
      <c r="J23">
        <v>0</v>
      </c>
      <c r="K23">
        <v>0</v>
      </c>
      <c r="L23" s="1">
        <v>0</v>
      </c>
      <c r="M23">
        <v>0</v>
      </c>
      <c r="N23">
        <f t="shared" si="0"/>
        <v>0</v>
      </c>
      <c r="O23">
        <v>2</v>
      </c>
      <c r="P23">
        <v>11</v>
      </c>
    </row>
    <row r="24" spans="1:16" x14ac:dyDescent="0.3">
      <c r="A24" s="1" t="s">
        <v>116</v>
      </c>
      <c r="B24" s="1" t="s">
        <v>91</v>
      </c>
      <c r="C24" s="1" t="s">
        <v>96</v>
      </c>
      <c r="D24" s="2">
        <v>73</v>
      </c>
      <c r="E24">
        <v>0</v>
      </c>
      <c r="F24" s="1" t="s">
        <v>320</v>
      </c>
      <c r="G24" s="1"/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f t="shared" si="0"/>
        <v>0</v>
      </c>
      <c r="O24">
        <v>0</v>
      </c>
      <c r="P24">
        <v>6</v>
      </c>
    </row>
    <row r="25" spans="1:16" x14ac:dyDescent="0.3">
      <c r="A25" s="1" t="s">
        <v>121</v>
      </c>
      <c r="B25" s="1" t="s">
        <v>91</v>
      </c>
      <c r="C25" s="1" t="s">
        <v>131</v>
      </c>
      <c r="D25" s="2">
        <v>15.073675496176911</v>
      </c>
      <c r="E25">
        <v>2</v>
      </c>
      <c r="F25" s="1" t="s">
        <v>320</v>
      </c>
      <c r="G25" s="1">
        <v>36</v>
      </c>
      <c r="H25">
        <v>0</v>
      </c>
      <c r="I25">
        <v>0</v>
      </c>
      <c r="J25">
        <v>0</v>
      </c>
      <c r="K25">
        <v>0</v>
      </c>
      <c r="L25" s="1">
        <v>0</v>
      </c>
      <c r="M25">
        <v>0</v>
      </c>
      <c r="N25">
        <f t="shared" si="0"/>
        <v>0</v>
      </c>
      <c r="O25">
        <v>4</v>
      </c>
      <c r="P25">
        <v>4</v>
      </c>
    </row>
    <row r="26" spans="1:16" x14ac:dyDescent="0.3">
      <c r="A26" s="1" t="s">
        <v>126</v>
      </c>
      <c r="B26" s="1" t="s">
        <v>96</v>
      </c>
      <c r="C26" s="1" t="s">
        <v>101</v>
      </c>
      <c r="D26" s="2">
        <v>27.94847030040475</v>
      </c>
      <c r="E26">
        <v>0</v>
      </c>
      <c r="F26" s="1" t="s">
        <v>320</v>
      </c>
      <c r="G26" s="1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f t="shared" si="0"/>
        <v>0</v>
      </c>
      <c r="O26">
        <v>3</v>
      </c>
      <c r="P26">
        <v>2</v>
      </c>
    </row>
    <row r="27" spans="1:16" x14ac:dyDescent="0.3">
      <c r="A27" s="1" t="s">
        <v>131</v>
      </c>
      <c r="B27" s="1" t="s">
        <v>96</v>
      </c>
      <c r="C27" s="1" t="s">
        <v>106</v>
      </c>
      <c r="D27" s="2">
        <v>37.639064941173807</v>
      </c>
      <c r="E27">
        <v>0</v>
      </c>
      <c r="F27" s="1" t="s">
        <v>320</v>
      </c>
      <c r="G27" s="1"/>
      <c r="H27">
        <v>0</v>
      </c>
      <c r="I27">
        <v>0</v>
      </c>
      <c r="J27">
        <v>0</v>
      </c>
      <c r="K27">
        <v>0</v>
      </c>
      <c r="L27" s="1">
        <v>0</v>
      </c>
      <c r="M27">
        <v>0</v>
      </c>
      <c r="N27">
        <f t="shared" si="0"/>
        <v>0</v>
      </c>
      <c r="O27">
        <v>0</v>
      </c>
      <c r="P27">
        <v>3</v>
      </c>
    </row>
    <row r="28" spans="1:16" x14ac:dyDescent="0.3">
      <c r="A28" s="1" t="s">
        <v>135</v>
      </c>
      <c r="B28" s="1" t="s">
        <v>131</v>
      </c>
      <c r="C28" s="1" t="s">
        <v>126</v>
      </c>
      <c r="D28" s="2">
        <v>26.206057207203251</v>
      </c>
      <c r="E28">
        <v>2</v>
      </c>
      <c r="F28" s="1" t="s">
        <v>320</v>
      </c>
      <c r="G28" s="1">
        <v>36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f t="shared" si="0"/>
        <v>0</v>
      </c>
      <c r="O28">
        <v>9</v>
      </c>
      <c r="P28">
        <v>7</v>
      </c>
    </row>
    <row r="29" spans="1:16" x14ac:dyDescent="0.3">
      <c r="A29" s="1" t="s">
        <v>140</v>
      </c>
      <c r="B29" s="1" t="s">
        <v>131</v>
      </c>
      <c r="C29" s="1" t="s">
        <v>135</v>
      </c>
      <c r="D29" s="2">
        <v>16.080088001591839</v>
      </c>
      <c r="E29">
        <v>0</v>
      </c>
      <c r="F29" s="1" t="s">
        <v>320</v>
      </c>
      <c r="G29" s="1"/>
      <c r="H29">
        <v>0</v>
      </c>
      <c r="I29">
        <v>0</v>
      </c>
      <c r="J29">
        <v>0</v>
      </c>
      <c r="K29">
        <v>0</v>
      </c>
      <c r="L29" s="1">
        <v>0</v>
      </c>
      <c r="M29">
        <v>0</v>
      </c>
      <c r="N29">
        <f t="shared" si="0"/>
        <v>0</v>
      </c>
      <c r="O29">
        <v>0</v>
      </c>
      <c r="P29">
        <v>2</v>
      </c>
    </row>
    <row r="30" spans="1:16" x14ac:dyDescent="0.3">
      <c r="A30" s="1" t="s">
        <v>145</v>
      </c>
      <c r="B30" s="1" t="s">
        <v>135</v>
      </c>
      <c r="C30" s="1" t="s">
        <v>145</v>
      </c>
      <c r="D30" s="2">
        <v>16.043150600481741</v>
      </c>
      <c r="E30">
        <v>0</v>
      </c>
      <c r="F30" s="1" t="s">
        <v>320</v>
      </c>
      <c r="G30" s="1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f t="shared" si="0"/>
        <v>0</v>
      </c>
      <c r="O30">
        <v>0</v>
      </c>
      <c r="P30">
        <v>9</v>
      </c>
    </row>
    <row r="31" spans="1:16" x14ac:dyDescent="0.3">
      <c r="A31" s="1" t="s">
        <v>150</v>
      </c>
      <c r="B31" s="1" t="s">
        <v>126</v>
      </c>
      <c r="C31" s="1" t="s">
        <v>101</v>
      </c>
      <c r="D31" s="2">
        <v>17</v>
      </c>
      <c r="E31">
        <v>2</v>
      </c>
      <c r="F31" s="1" t="s">
        <v>320</v>
      </c>
      <c r="G31" s="1">
        <v>36</v>
      </c>
      <c r="H31">
        <v>0</v>
      </c>
      <c r="I31">
        <v>0</v>
      </c>
      <c r="J31">
        <v>0</v>
      </c>
      <c r="K31">
        <v>0</v>
      </c>
      <c r="L31" s="1">
        <v>0</v>
      </c>
      <c r="M31">
        <v>0</v>
      </c>
      <c r="N31">
        <f t="shared" si="0"/>
        <v>0</v>
      </c>
      <c r="O31">
        <v>18</v>
      </c>
      <c r="P31">
        <v>9</v>
      </c>
    </row>
    <row r="32" spans="1:16" x14ac:dyDescent="0.3">
      <c r="A32" s="1" t="s">
        <v>155</v>
      </c>
      <c r="B32" s="1" t="s">
        <v>126</v>
      </c>
      <c r="C32" s="1" t="s">
        <v>121</v>
      </c>
      <c r="D32" s="2">
        <v>23</v>
      </c>
      <c r="E32">
        <v>0</v>
      </c>
      <c r="F32" s="1" t="s">
        <v>320</v>
      </c>
      <c r="G32" s="1"/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f t="shared" si="0"/>
        <v>0</v>
      </c>
      <c r="O32">
        <v>1</v>
      </c>
      <c r="P32">
        <v>2</v>
      </c>
    </row>
    <row r="33" spans="1:16" x14ac:dyDescent="0.3">
      <c r="A33" s="1" t="s">
        <v>159</v>
      </c>
      <c r="B33" s="1" t="s">
        <v>121</v>
      </c>
      <c r="C33" s="1" t="s">
        <v>101</v>
      </c>
      <c r="D33" s="2">
        <v>12.69730718365612</v>
      </c>
      <c r="E33">
        <v>2</v>
      </c>
      <c r="F33" s="1" t="s">
        <v>320</v>
      </c>
      <c r="G33" s="1">
        <v>36</v>
      </c>
      <c r="H33">
        <v>0</v>
      </c>
      <c r="I33">
        <v>0</v>
      </c>
      <c r="J33">
        <v>0</v>
      </c>
      <c r="K33">
        <v>0</v>
      </c>
      <c r="L33" s="1">
        <v>0</v>
      </c>
      <c r="M33">
        <v>0</v>
      </c>
      <c r="N33">
        <f t="shared" si="0"/>
        <v>0</v>
      </c>
      <c r="O33">
        <v>4</v>
      </c>
      <c r="P33">
        <v>4</v>
      </c>
    </row>
    <row r="34" spans="1:16" x14ac:dyDescent="0.3">
      <c r="A34" s="1" t="s">
        <v>164</v>
      </c>
      <c r="B34" s="1" t="s">
        <v>121</v>
      </c>
      <c r="C34" s="1" t="s">
        <v>111</v>
      </c>
      <c r="D34" s="2">
        <v>43.035431876602253</v>
      </c>
      <c r="E34">
        <v>0</v>
      </c>
      <c r="F34" s="1" t="s">
        <v>320</v>
      </c>
      <c r="G34" s="1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f t="shared" si="0"/>
        <v>0</v>
      </c>
      <c r="O34">
        <v>0</v>
      </c>
      <c r="P34">
        <v>0</v>
      </c>
    </row>
    <row r="35" spans="1:16" x14ac:dyDescent="0.3">
      <c r="A35" s="1" t="s">
        <v>169</v>
      </c>
      <c r="B35" s="1" t="s">
        <v>121</v>
      </c>
      <c r="C35" s="1" t="s">
        <v>116</v>
      </c>
      <c r="D35" s="2">
        <v>40.85792317403267</v>
      </c>
      <c r="E35">
        <v>0</v>
      </c>
      <c r="F35" s="1" t="s">
        <v>320</v>
      </c>
      <c r="G35" s="1"/>
      <c r="H35">
        <v>0</v>
      </c>
      <c r="I35">
        <v>0</v>
      </c>
      <c r="J35">
        <v>0</v>
      </c>
      <c r="K35">
        <v>0</v>
      </c>
      <c r="L35" s="1">
        <v>0</v>
      </c>
      <c r="M35">
        <v>0</v>
      </c>
      <c r="N35">
        <f t="shared" si="0"/>
        <v>0</v>
      </c>
      <c r="O35">
        <v>2534</v>
      </c>
      <c r="P35">
        <v>2</v>
      </c>
    </row>
    <row r="36" spans="1:16" x14ac:dyDescent="0.3">
      <c r="A36" s="1" t="s">
        <v>174</v>
      </c>
      <c r="B36" s="1" t="s">
        <v>121</v>
      </c>
      <c r="C36" s="1" t="s">
        <v>145</v>
      </c>
      <c r="D36" s="2">
        <v>33</v>
      </c>
      <c r="E36">
        <v>2</v>
      </c>
      <c r="F36" s="1" t="s">
        <v>320</v>
      </c>
      <c r="G36" s="1"/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f t="shared" si="0"/>
        <v>0</v>
      </c>
      <c r="O36">
        <v>2</v>
      </c>
      <c r="P36">
        <v>6</v>
      </c>
    </row>
    <row r="37" spans="1:16" x14ac:dyDescent="0.3">
      <c r="A37" s="1" t="s">
        <v>179</v>
      </c>
      <c r="B37" s="1" t="s">
        <v>101</v>
      </c>
      <c r="C37" s="1" t="s">
        <v>106</v>
      </c>
      <c r="D37" s="2">
        <v>31.638521390268441</v>
      </c>
      <c r="E37">
        <v>2</v>
      </c>
      <c r="F37" s="1" t="s">
        <v>320</v>
      </c>
      <c r="G37" s="1">
        <v>54</v>
      </c>
      <c r="H37">
        <v>0</v>
      </c>
      <c r="I37">
        <v>0</v>
      </c>
      <c r="J37">
        <v>0</v>
      </c>
      <c r="K37">
        <v>0</v>
      </c>
      <c r="L37" s="1">
        <v>0</v>
      </c>
      <c r="M37">
        <v>0</v>
      </c>
      <c r="N37">
        <f t="shared" si="0"/>
        <v>0</v>
      </c>
      <c r="O37">
        <v>21</v>
      </c>
      <c r="P37">
        <v>8</v>
      </c>
    </row>
    <row r="38" spans="1:16" x14ac:dyDescent="0.3">
      <c r="A38" s="1" t="s">
        <v>184</v>
      </c>
      <c r="B38" s="1" t="s">
        <v>106</v>
      </c>
      <c r="C38" s="1" t="s">
        <v>111</v>
      </c>
      <c r="D38" s="2">
        <v>17.657917775682769</v>
      </c>
      <c r="E38">
        <v>2</v>
      </c>
      <c r="F38" s="1" t="s">
        <v>320</v>
      </c>
      <c r="G38" s="1">
        <v>54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f t="shared" si="0"/>
        <v>0</v>
      </c>
      <c r="O38">
        <v>8</v>
      </c>
      <c r="P38">
        <v>11</v>
      </c>
    </row>
    <row r="39" spans="1:16" x14ac:dyDescent="0.3">
      <c r="A39" s="1" t="s">
        <v>189</v>
      </c>
      <c r="B39" s="1" t="s">
        <v>111</v>
      </c>
      <c r="C39" s="1" t="s">
        <v>27</v>
      </c>
      <c r="D39" s="2">
        <v>17.596180055055321</v>
      </c>
      <c r="E39" t="s">
        <v>327</v>
      </c>
      <c r="F39" s="1" t="s">
        <v>320</v>
      </c>
      <c r="G39" s="1" t="s">
        <v>230</v>
      </c>
      <c r="H39">
        <v>0</v>
      </c>
      <c r="I39">
        <v>0</v>
      </c>
      <c r="J39">
        <v>2</v>
      </c>
      <c r="K39">
        <v>2</v>
      </c>
      <c r="L39">
        <v>3</v>
      </c>
      <c r="M39">
        <v>2</v>
      </c>
      <c r="N39">
        <f t="shared" si="0"/>
        <v>4</v>
      </c>
      <c r="O39">
        <v>14</v>
      </c>
      <c r="P39">
        <v>3</v>
      </c>
    </row>
    <row r="40" spans="1:16" x14ac:dyDescent="0.3">
      <c r="A40" s="1" t="s">
        <v>194</v>
      </c>
      <c r="B40" s="1" t="s">
        <v>174</v>
      </c>
      <c r="C40" s="1" t="s">
        <v>179</v>
      </c>
      <c r="D40" s="2">
        <v>21.856429352510261</v>
      </c>
      <c r="E40">
        <v>2</v>
      </c>
      <c r="F40" s="1" t="s">
        <v>320</v>
      </c>
      <c r="G40" s="1"/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f t="shared" si="0"/>
        <v>0</v>
      </c>
      <c r="O40">
        <v>2</v>
      </c>
      <c r="P40">
        <v>6</v>
      </c>
    </row>
    <row r="41" spans="1:16" x14ac:dyDescent="0.3">
      <c r="A41" s="1" t="s">
        <v>199</v>
      </c>
      <c r="B41" s="1" t="s">
        <v>174</v>
      </c>
      <c r="C41" s="1" t="s">
        <v>184</v>
      </c>
      <c r="D41" s="2">
        <v>13.16677981177515</v>
      </c>
      <c r="E41">
        <v>4</v>
      </c>
      <c r="F41" s="1" t="s">
        <v>301</v>
      </c>
      <c r="G41" s="1"/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f t="shared" si="0"/>
        <v>0</v>
      </c>
      <c r="O41">
        <v>10</v>
      </c>
      <c r="P41">
        <v>13</v>
      </c>
    </row>
    <row r="42" spans="1:16" x14ac:dyDescent="0.3">
      <c r="A42" s="1" t="s">
        <v>217</v>
      </c>
      <c r="B42" s="1" t="s">
        <v>179</v>
      </c>
      <c r="C42" s="1" t="s">
        <v>184</v>
      </c>
      <c r="D42" s="2">
        <v>22.990135571128469</v>
      </c>
      <c r="E42">
        <v>2</v>
      </c>
      <c r="F42" s="1" t="s">
        <v>309</v>
      </c>
      <c r="G42" s="1"/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f t="shared" si="0"/>
        <v>0</v>
      </c>
      <c r="O42">
        <v>20</v>
      </c>
      <c r="P42">
        <v>4</v>
      </c>
    </row>
    <row r="43" spans="1:16" x14ac:dyDescent="0.3">
      <c r="A43" s="1" t="s">
        <v>218</v>
      </c>
      <c r="B43" s="1" t="s">
        <v>179</v>
      </c>
      <c r="C43" s="1" t="s">
        <v>41</v>
      </c>
      <c r="D43" s="2">
        <v>8.0442500953485698</v>
      </c>
      <c r="E43" t="s">
        <v>327</v>
      </c>
      <c r="F43" s="1" t="s">
        <v>309</v>
      </c>
      <c r="G43" s="1" t="s">
        <v>281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f t="shared" si="0"/>
        <v>0</v>
      </c>
      <c r="O43">
        <v>53</v>
      </c>
      <c r="P43">
        <v>6</v>
      </c>
    </row>
    <row r="44" spans="1:16" x14ac:dyDescent="0.3">
      <c r="A44" s="1" t="s">
        <v>219</v>
      </c>
      <c r="B44" s="1" t="s">
        <v>184</v>
      </c>
      <c r="C44" s="1" t="s">
        <v>164</v>
      </c>
      <c r="D44" s="2">
        <v>21.373638470841371</v>
      </c>
      <c r="E44">
        <v>4</v>
      </c>
      <c r="F44" s="1" t="s">
        <v>301</v>
      </c>
      <c r="G44" s="1" t="s">
        <v>179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f t="shared" si="0"/>
        <v>0</v>
      </c>
      <c r="O44">
        <v>86</v>
      </c>
      <c r="P44">
        <v>10</v>
      </c>
    </row>
    <row r="45" spans="1:16" x14ac:dyDescent="0.3">
      <c r="A45" s="1" t="s">
        <v>220</v>
      </c>
      <c r="B45" s="1" t="s">
        <v>164</v>
      </c>
      <c r="C45" s="1" t="s">
        <v>169</v>
      </c>
      <c r="D45" s="2">
        <v>16.665282238342702</v>
      </c>
      <c r="E45">
        <v>4</v>
      </c>
      <c r="F45" s="1" t="s">
        <v>301</v>
      </c>
      <c r="G45" s="1"/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f t="shared" si="0"/>
        <v>0</v>
      </c>
      <c r="O45">
        <v>78</v>
      </c>
      <c r="P45">
        <v>8</v>
      </c>
    </row>
    <row r="46" spans="1:16" x14ac:dyDescent="0.3">
      <c r="A46" s="1" t="s">
        <v>221</v>
      </c>
      <c r="B46" s="1" t="s">
        <v>164</v>
      </c>
      <c r="C46" s="1" t="s">
        <v>159</v>
      </c>
      <c r="D46" s="2">
        <v>20.589232048764579</v>
      </c>
      <c r="E46">
        <v>2</v>
      </c>
      <c r="F46" s="1" t="s">
        <v>297</v>
      </c>
      <c r="G46" s="1"/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f t="shared" si="0"/>
        <v>0</v>
      </c>
      <c r="O46">
        <v>10</v>
      </c>
      <c r="P46">
        <v>6</v>
      </c>
    </row>
    <row r="47" spans="1:16" x14ac:dyDescent="0.3">
      <c r="A47" s="1" t="s">
        <v>222</v>
      </c>
      <c r="B47" s="1" t="s">
        <v>169</v>
      </c>
      <c r="C47" s="1" t="s">
        <v>189</v>
      </c>
      <c r="D47" s="2">
        <v>19.273534345386231</v>
      </c>
      <c r="E47">
        <v>4</v>
      </c>
      <c r="F47" s="1" t="s">
        <v>301</v>
      </c>
      <c r="G47" s="1"/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f t="shared" si="0"/>
        <v>0</v>
      </c>
      <c r="O47">
        <v>28</v>
      </c>
      <c r="P47">
        <v>16</v>
      </c>
    </row>
    <row r="48" spans="1:16" x14ac:dyDescent="0.3">
      <c r="A48" s="1" t="s">
        <v>223</v>
      </c>
      <c r="B48" s="1" t="s">
        <v>169</v>
      </c>
      <c r="C48" s="1" t="s">
        <v>159</v>
      </c>
      <c r="D48" s="2">
        <v>11.972313908110589</v>
      </c>
      <c r="E48">
        <v>2</v>
      </c>
      <c r="F48" s="1" t="s">
        <v>320</v>
      </c>
      <c r="G48" s="1"/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f t="shared" si="0"/>
        <v>0</v>
      </c>
      <c r="O48">
        <v>9</v>
      </c>
      <c r="P48">
        <v>10</v>
      </c>
    </row>
    <row r="49" spans="1:18" x14ac:dyDescent="0.3">
      <c r="A49" s="1" t="s">
        <v>224</v>
      </c>
      <c r="B49" s="1" t="s">
        <v>159</v>
      </c>
      <c r="C49" s="1" t="s">
        <v>155</v>
      </c>
      <c r="D49" s="2">
        <v>18.79830710910274</v>
      </c>
      <c r="E49">
        <v>2</v>
      </c>
      <c r="F49" s="1" t="s">
        <v>297</v>
      </c>
      <c r="G49" s="1" t="s">
        <v>91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f t="shared" si="0"/>
        <v>0</v>
      </c>
      <c r="O49">
        <v>18</v>
      </c>
      <c r="P49">
        <v>9</v>
      </c>
    </row>
    <row r="50" spans="1:18" x14ac:dyDescent="0.3">
      <c r="A50" s="1" t="s">
        <v>225</v>
      </c>
      <c r="B50" s="1" t="s">
        <v>159</v>
      </c>
      <c r="C50" s="1" t="s">
        <v>150</v>
      </c>
      <c r="D50" s="2">
        <v>42.165000061961251</v>
      </c>
      <c r="E50">
        <v>0</v>
      </c>
      <c r="F50" s="1" t="s">
        <v>320</v>
      </c>
      <c r="G50" s="1"/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f t="shared" si="0"/>
        <v>0</v>
      </c>
      <c r="O50">
        <v>1</v>
      </c>
      <c r="P50">
        <v>6</v>
      </c>
    </row>
    <row r="51" spans="1:18" x14ac:dyDescent="0.3">
      <c r="A51" s="1" t="s">
        <v>226</v>
      </c>
      <c r="B51" s="1" t="s">
        <v>155</v>
      </c>
      <c r="C51" s="1" t="s">
        <v>150</v>
      </c>
      <c r="D51" s="2">
        <v>39.853056149954732</v>
      </c>
      <c r="E51">
        <v>6</v>
      </c>
      <c r="F51" s="1" t="s">
        <v>301</v>
      </c>
      <c r="G51" s="1">
        <v>180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f t="shared" si="0"/>
        <v>0</v>
      </c>
      <c r="O51">
        <v>768</v>
      </c>
      <c r="P51">
        <v>10</v>
      </c>
    </row>
    <row r="52" spans="1:18" x14ac:dyDescent="0.3">
      <c r="A52" s="1" t="s">
        <v>227</v>
      </c>
      <c r="B52" s="1" t="s">
        <v>150</v>
      </c>
      <c r="C52" s="1" t="s">
        <v>145</v>
      </c>
      <c r="D52" s="2">
        <v>16.032524534719801</v>
      </c>
      <c r="E52">
        <v>2</v>
      </c>
      <c r="F52" s="1" t="s">
        <v>320</v>
      </c>
      <c r="G52" s="1"/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f t="shared" si="0"/>
        <v>0</v>
      </c>
      <c r="O52">
        <v>5</v>
      </c>
      <c r="P52">
        <v>14</v>
      </c>
    </row>
    <row r="53" spans="1:18" x14ac:dyDescent="0.3">
      <c r="A53" s="1" t="s">
        <v>228</v>
      </c>
      <c r="B53" s="1" t="s">
        <v>150</v>
      </c>
      <c r="C53" s="1" t="s">
        <v>140</v>
      </c>
      <c r="D53" s="2">
        <v>32</v>
      </c>
      <c r="E53">
        <v>6</v>
      </c>
      <c r="F53" s="1" t="s">
        <v>301</v>
      </c>
      <c r="G53" s="1">
        <v>180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f t="shared" si="0"/>
        <v>0</v>
      </c>
      <c r="O53">
        <v>759</v>
      </c>
      <c r="P53">
        <v>10</v>
      </c>
    </row>
    <row r="54" spans="1:18" x14ac:dyDescent="0.3">
      <c r="A54" s="1" t="s">
        <v>229</v>
      </c>
      <c r="B54" s="1" t="s">
        <v>150</v>
      </c>
      <c r="C54" s="1" t="s">
        <v>194</v>
      </c>
      <c r="D54" s="2">
        <v>64</v>
      </c>
      <c r="E54">
        <v>0</v>
      </c>
      <c r="F54" s="1" t="s">
        <v>320</v>
      </c>
      <c r="G54" s="1"/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f t="shared" si="0"/>
        <v>0</v>
      </c>
      <c r="O54">
        <v>0</v>
      </c>
      <c r="P54">
        <v>4</v>
      </c>
    </row>
    <row r="55" spans="1:18" x14ac:dyDescent="0.3">
      <c r="A55" s="1" t="s">
        <v>230</v>
      </c>
      <c r="B55" s="1" t="s">
        <v>140</v>
      </c>
      <c r="C55" s="1" t="s">
        <v>145</v>
      </c>
      <c r="D55" s="2">
        <v>18</v>
      </c>
      <c r="E55">
        <v>0</v>
      </c>
      <c r="F55" s="1" t="s">
        <v>320</v>
      </c>
      <c r="G55" s="1"/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f t="shared" si="0"/>
        <v>0</v>
      </c>
      <c r="O55">
        <v>101</v>
      </c>
      <c r="P55">
        <v>7</v>
      </c>
    </row>
    <row r="56" spans="1:18" x14ac:dyDescent="0.3">
      <c r="A56" s="1" t="s">
        <v>231</v>
      </c>
      <c r="B56" s="1" t="s">
        <v>140</v>
      </c>
      <c r="C56" s="1" t="s">
        <v>116</v>
      </c>
      <c r="D56" s="2">
        <v>44.459294447621893</v>
      </c>
      <c r="E56">
        <v>0</v>
      </c>
      <c r="F56" s="1" t="s">
        <v>320</v>
      </c>
      <c r="G56" s="1"/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f t="shared" si="0"/>
        <v>0</v>
      </c>
      <c r="O56">
        <v>0</v>
      </c>
      <c r="P56">
        <v>4</v>
      </c>
    </row>
    <row r="57" spans="1:18" x14ac:dyDescent="0.3">
      <c r="A57" s="1" t="s">
        <v>232</v>
      </c>
      <c r="B57" s="1" t="s">
        <v>140</v>
      </c>
      <c r="C57" s="1" t="s">
        <v>33</v>
      </c>
      <c r="D57" s="2">
        <v>5.0752748951873361</v>
      </c>
      <c r="E57" t="s">
        <v>327</v>
      </c>
      <c r="F57" s="1" t="s">
        <v>301</v>
      </c>
      <c r="G57" s="5" t="s">
        <v>271</v>
      </c>
      <c r="H57">
        <v>0</v>
      </c>
      <c r="I57">
        <v>1</v>
      </c>
      <c r="J57">
        <v>6</v>
      </c>
      <c r="K57">
        <v>7</v>
      </c>
      <c r="L57">
        <v>10</v>
      </c>
      <c r="M57">
        <v>12</v>
      </c>
      <c r="N57">
        <f t="shared" si="0"/>
        <v>13</v>
      </c>
      <c r="O57">
        <v>163</v>
      </c>
      <c r="P57">
        <v>5</v>
      </c>
    </row>
    <row r="58" spans="1:18" x14ac:dyDescent="0.3">
      <c r="A58" s="1" t="s">
        <v>233</v>
      </c>
      <c r="B58" s="1" t="s">
        <v>189</v>
      </c>
      <c r="C58" s="1" t="s">
        <v>194</v>
      </c>
      <c r="D58" s="2">
        <v>55</v>
      </c>
      <c r="E58">
        <v>4</v>
      </c>
      <c r="F58" s="1" t="s">
        <v>301</v>
      </c>
      <c r="G58" s="1"/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f t="shared" si="0"/>
        <v>0</v>
      </c>
      <c r="O58">
        <v>35</v>
      </c>
      <c r="P58">
        <v>8</v>
      </c>
    </row>
    <row r="59" spans="1:18" x14ac:dyDescent="0.3">
      <c r="A59" s="1" t="s">
        <v>234</v>
      </c>
      <c r="B59" s="1" t="s">
        <v>189</v>
      </c>
      <c r="C59" s="1" t="s">
        <v>199</v>
      </c>
      <c r="D59" s="2">
        <v>45.424783572726803</v>
      </c>
      <c r="E59">
        <v>2</v>
      </c>
      <c r="F59" s="1" t="s">
        <v>320</v>
      </c>
      <c r="G59" s="1"/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f t="shared" si="0"/>
        <v>0</v>
      </c>
      <c r="O59">
        <v>2</v>
      </c>
      <c r="P59">
        <v>8</v>
      </c>
    </row>
    <row r="60" spans="1:18" x14ac:dyDescent="0.3">
      <c r="A60" s="1" t="s">
        <v>235</v>
      </c>
      <c r="B60" s="1" t="s">
        <v>194</v>
      </c>
      <c r="C60" s="1" t="s">
        <v>199</v>
      </c>
      <c r="D60" s="2">
        <v>23</v>
      </c>
      <c r="E60">
        <v>1</v>
      </c>
      <c r="F60" s="1" t="s">
        <v>305</v>
      </c>
      <c r="G60" s="1"/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f t="shared" si="0"/>
        <v>0</v>
      </c>
      <c r="O60">
        <v>10</v>
      </c>
      <c r="P60">
        <v>3</v>
      </c>
    </row>
    <row r="61" spans="1:18" x14ac:dyDescent="0.3">
      <c r="A61" s="1" t="s">
        <v>236</v>
      </c>
      <c r="B61" s="1" t="s">
        <v>194</v>
      </c>
      <c r="C61" s="1" t="s">
        <v>37</v>
      </c>
      <c r="D61" s="2">
        <v>4.3008184551349826</v>
      </c>
      <c r="E61" t="s">
        <v>327</v>
      </c>
      <c r="F61" s="1" t="s">
        <v>309</v>
      </c>
      <c r="G61" s="1">
        <v>48</v>
      </c>
      <c r="H61">
        <v>0</v>
      </c>
      <c r="I61">
        <v>1</v>
      </c>
      <c r="J61">
        <v>1</v>
      </c>
      <c r="K61">
        <v>0</v>
      </c>
      <c r="L61">
        <v>2</v>
      </c>
      <c r="M61">
        <v>2</v>
      </c>
      <c r="N61">
        <f t="shared" si="0"/>
        <v>3</v>
      </c>
      <c r="O61">
        <v>235</v>
      </c>
      <c r="P61">
        <v>3</v>
      </c>
      <c r="R61" t="s">
        <v>55</v>
      </c>
    </row>
    <row r="62" spans="1:18" x14ac:dyDescent="0.3">
      <c r="A62" s="1" t="s">
        <v>237</v>
      </c>
      <c r="B62" s="1" t="s">
        <v>199</v>
      </c>
      <c r="C62" s="1" t="s">
        <v>45</v>
      </c>
      <c r="D62" s="2">
        <v>28.127758747764041</v>
      </c>
      <c r="E62">
        <v>2</v>
      </c>
      <c r="F62" s="1" t="s">
        <v>320</v>
      </c>
      <c r="G62" s="1"/>
      <c r="H62">
        <v>0</v>
      </c>
      <c r="I62">
        <v>0</v>
      </c>
      <c r="J62">
        <v>0</v>
      </c>
      <c r="K62">
        <v>0</v>
      </c>
      <c r="L62">
        <v>1</v>
      </c>
      <c r="M62">
        <v>1</v>
      </c>
      <c r="N62">
        <f t="shared" si="0"/>
        <v>1</v>
      </c>
      <c r="O62">
        <v>10</v>
      </c>
      <c r="P62">
        <v>8</v>
      </c>
    </row>
    <row r="63" spans="1:18" x14ac:dyDescent="0.3">
      <c r="A63" s="1" t="s">
        <v>238</v>
      </c>
      <c r="B63" s="1" t="s">
        <v>62</v>
      </c>
      <c r="C63" s="1" t="s">
        <v>6</v>
      </c>
      <c r="D63" s="2">
        <v>13.555943937177391</v>
      </c>
      <c r="E63">
        <v>2</v>
      </c>
      <c r="F63" s="1" t="s">
        <v>295</v>
      </c>
      <c r="G63" s="1"/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f t="shared" si="0"/>
        <v>0</v>
      </c>
      <c r="O63">
        <v>6</v>
      </c>
      <c r="P63">
        <v>2</v>
      </c>
    </row>
    <row r="64" spans="1:18" x14ac:dyDescent="0.3">
      <c r="A64" s="1" t="s">
        <v>239</v>
      </c>
      <c r="B64" s="1" t="s">
        <v>155</v>
      </c>
      <c r="C64" s="1" t="s">
        <v>6</v>
      </c>
      <c r="D64" s="2">
        <v>46.788942735990872</v>
      </c>
      <c r="E64">
        <v>6</v>
      </c>
      <c r="F64" s="1" t="s">
        <v>301</v>
      </c>
      <c r="G64" s="1">
        <v>108</v>
      </c>
      <c r="H64">
        <v>0</v>
      </c>
      <c r="I64">
        <v>0</v>
      </c>
      <c r="J64">
        <v>0</v>
      </c>
      <c r="K64">
        <v>0</v>
      </c>
      <c r="L64" s="1">
        <v>0</v>
      </c>
      <c r="M64">
        <v>0</v>
      </c>
      <c r="N64">
        <f t="shared" si="0"/>
        <v>0</v>
      </c>
      <c r="O64">
        <v>36</v>
      </c>
      <c r="P64">
        <v>6</v>
      </c>
    </row>
    <row r="65" spans="1:16" x14ac:dyDescent="0.3">
      <c r="A65" s="1" t="s">
        <v>240</v>
      </c>
      <c r="B65" s="1" t="s">
        <v>174</v>
      </c>
      <c r="C65" s="1" t="s">
        <v>6</v>
      </c>
      <c r="D65" s="2">
        <v>16.474316860029141</v>
      </c>
      <c r="E65">
        <v>6</v>
      </c>
      <c r="F65" s="1" t="s">
        <v>305</v>
      </c>
      <c r="G65" s="1">
        <v>90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f t="shared" si="0"/>
        <v>0</v>
      </c>
      <c r="O65">
        <v>26</v>
      </c>
      <c r="P65">
        <v>13</v>
      </c>
    </row>
    <row r="66" spans="1:16" x14ac:dyDescent="0.3">
      <c r="A66" s="1" t="s">
        <v>241</v>
      </c>
      <c r="B66" s="1" t="s">
        <v>174</v>
      </c>
      <c r="C66" s="1" t="s">
        <v>12</v>
      </c>
      <c r="D66" s="2">
        <v>4.391580784857017</v>
      </c>
      <c r="E66">
        <v>1</v>
      </c>
      <c r="F66" s="1" t="s">
        <v>320</v>
      </c>
      <c r="G66" s="1"/>
      <c r="H66">
        <v>0</v>
      </c>
      <c r="I66">
        <v>0</v>
      </c>
      <c r="J66">
        <v>0</v>
      </c>
      <c r="K66">
        <v>0</v>
      </c>
      <c r="L66" s="1">
        <v>0</v>
      </c>
      <c r="M66">
        <v>0</v>
      </c>
      <c r="N66">
        <f t="shared" si="0"/>
        <v>0</v>
      </c>
      <c r="O66">
        <v>3</v>
      </c>
      <c r="P66">
        <v>1</v>
      </c>
    </row>
    <row r="67" spans="1:16" x14ac:dyDescent="0.3">
      <c r="A67" s="1" t="s">
        <v>242</v>
      </c>
      <c r="B67" s="1" t="s">
        <v>179</v>
      </c>
      <c r="C67" s="1" t="s">
        <v>17</v>
      </c>
      <c r="D67" s="2">
        <v>54.090172208685452</v>
      </c>
      <c r="E67">
        <v>2</v>
      </c>
      <c r="F67" s="1" t="s">
        <v>320</v>
      </c>
      <c r="G67" s="1"/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f t="shared" ref="N67:N130" si="1">ROUND(L67*1.3,0)</f>
        <v>0</v>
      </c>
      <c r="O67">
        <v>2</v>
      </c>
      <c r="P67">
        <v>5</v>
      </c>
    </row>
    <row r="68" spans="1:16" x14ac:dyDescent="0.3">
      <c r="A68" s="1" t="s">
        <v>243</v>
      </c>
      <c r="B68" s="1" t="s">
        <v>72</v>
      </c>
      <c r="C68" s="1" t="s">
        <v>22</v>
      </c>
      <c r="D68" s="2">
        <v>6.6600972009983836</v>
      </c>
      <c r="E68">
        <v>2</v>
      </c>
      <c r="F68" s="1" t="s">
        <v>320</v>
      </c>
      <c r="G68" s="1"/>
      <c r="H68">
        <v>0</v>
      </c>
      <c r="I68">
        <v>0</v>
      </c>
      <c r="J68">
        <v>0</v>
      </c>
      <c r="K68">
        <v>0</v>
      </c>
      <c r="L68" s="1">
        <v>0</v>
      </c>
      <c r="M68">
        <v>0</v>
      </c>
      <c r="N68">
        <f t="shared" si="1"/>
        <v>0</v>
      </c>
      <c r="O68">
        <v>18</v>
      </c>
      <c r="P68">
        <v>13</v>
      </c>
    </row>
    <row r="69" spans="1:16" x14ac:dyDescent="0.3">
      <c r="A69" s="1" t="s">
        <v>244</v>
      </c>
      <c r="B69" s="1" t="s">
        <v>22</v>
      </c>
      <c r="C69" s="1" t="s">
        <v>217</v>
      </c>
      <c r="D69" s="2">
        <v>14</v>
      </c>
      <c r="E69">
        <v>2</v>
      </c>
      <c r="F69" s="1" t="s">
        <v>320</v>
      </c>
      <c r="G69" s="1"/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f t="shared" si="1"/>
        <v>0</v>
      </c>
      <c r="O69">
        <v>4</v>
      </c>
      <c r="P69">
        <v>13</v>
      </c>
    </row>
    <row r="70" spans="1:16" x14ac:dyDescent="0.3">
      <c r="A70" s="1" t="s">
        <v>245</v>
      </c>
      <c r="B70" s="1" t="s">
        <v>50</v>
      </c>
      <c r="C70" s="1" t="s">
        <v>62</v>
      </c>
      <c r="D70" s="2">
        <v>20.023180739473109</v>
      </c>
      <c r="E70">
        <v>0</v>
      </c>
      <c r="F70" s="1" t="s">
        <v>320</v>
      </c>
      <c r="G70" s="1"/>
      <c r="H70">
        <v>0</v>
      </c>
      <c r="I70">
        <v>0</v>
      </c>
      <c r="J70">
        <v>0</v>
      </c>
      <c r="K70">
        <v>0</v>
      </c>
      <c r="L70" s="1">
        <v>0</v>
      </c>
      <c r="M70">
        <v>0</v>
      </c>
      <c r="N70">
        <f t="shared" si="1"/>
        <v>0</v>
      </c>
      <c r="O70">
        <v>0</v>
      </c>
      <c r="P70">
        <v>14</v>
      </c>
    </row>
    <row r="71" spans="1:16" x14ac:dyDescent="0.3">
      <c r="A71" s="1" t="s">
        <v>246</v>
      </c>
      <c r="B71" s="1" t="s">
        <v>67</v>
      </c>
      <c r="C71" s="1" t="s">
        <v>62</v>
      </c>
      <c r="D71" s="2">
        <v>19.280533635433219</v>
      </c>
      <c r="E71">
        <v>2</v>
      </c>
      <c r="F71" s="1" t="s">
        <v>295</v>
      </c>
      <c r="G71" s="1"/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f t="shared" si="1"/>
        <v>0</v>
      </c>
      <c r="O71">
        <v>10</v>
      </c>
      <c r="P71">
        <v>8</v>
      </c>
    </row>
    <row r="72" spans="1:16" x14ac:dyDescent="0.3">
      <c r="A72" s="1" t="s">
        <v>247</v>
      </c>
      <c r="B72" s="1" t="s">
        <v>56</v>
      </c>
      <c r="C72" s="1" t="s">
        <v>50</v>
      </c>
      <c r="D72" s="2">
        <v>14.34829267362945</v>
      </c>
      <c r="E72">
        <v>0</v>
      </c>
      <c r="F72" s="1" t="s">
        <v>320</v>
      </c>
      <c r="G72" s="1"/>
      <c r="H72">
        <v>0</v>
      </c>
      <c r="I72">
        <v>0</v>
      </c>
      <c r="J72">
        <v>0</v>
      </c>
      <c r="K72">
        <v>0</v>
      </c>
      <c r="L72" s="1">
        <v>0</v>
      </c>
      <c r="M72">
        <v>0</v>
      </c>
      <c r="N72">
        <f t="shared" si="1"/>
        <v>0</v>
      </c>
      <c r="O72">
        <v>0</v>
      </c>
      <c r="P72">
        <v>14</v>
      </c>
    </row>
    <row r="73" spans="1:16" x14ac:dyDescent="0.3">
      <c r="A73" s="1" t="s">
        <v>316</v>
      </c>
      <c r="B73" s="1" t="s">
        <v>67</v>
      </c>
      <c r="C73" s="1" t="s">
        <v>50</v>
      </c>
      <c r="D73" s="2">
        <v>30</v>
      </c>
      <c r="E73">
        <v>0</v>
      </c>
      <c r="F73" s="1" t="s">
        <v>320</v>
      </c>
      <c r="G73" s="1"/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f t="shared" si="1"/>
        <v>0</v>
      </c>
      <c r="O73">
        <v>0</v>
      </c>
      <c r="P73">
        <v>8</v>
      </c>
    </row>
    <row r="74" spans="1:16" x14ac:dyDescent="0.3">
      <c r="A74" s="1" t="s">
        <v>248</v>
      </c>
      <c r="B74" s="1" t="s">
        <v>81</v>
      </c>
      <c r="C74" s="1" t="s">
        <v>67</v>
      </c>
      <c r="D74" s="2">
        <v>14.80891306554398</v>
      </c>
      <c r="E74">
        <v>2</v>
      </c>
      <c r="F74" s="1" t="s">
        <v>295</v>
      </c>
      <c r="G74" s="1"/>
      <c r="H74">
        <v>0</v>
      </c>
      <c r="I74">
        <v>0</v>
      </c>
      <c r="J74">
        <v>0</v>
      </c>
      <c r="K74">
        <v>0</v>
      </c>
      <c r="L74" s="1">
        <v>0</v>
      </c>
      <c r="M74">
        <v>0</v>
      </c>
      <c r="N74">
        <f t="shared" si="1"/>
        <v>0</v>
      </c>
      <c r="O74">
        <v>7</v>
      </c>
      <c r="P74">
        <v>16</v>
      </c>
    </row>
    <row r="75" spans="1:16" x14ac:dyDescent="0.3">
      <c r="A75" s="1" t="s">
        <v>249</v>
      </c>
      <c r="B75" s="1" t="s">
        <v>72</v>
      </c>
      <c r="C75" s="1" t="s">
        <v>56</v>
      </c>
      <c r="D75" s="2">
        <v>35.65957209659318</v>
      </c>
      <c r="E75">
        <v>0</v>
      </c>
      <c r="F75" s="1" t="s">
        <v>320</v>
      </c>
      <c r="G75" s="1"/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f t="shared" si="1"/>
        <v>0</v>
      </c>
      <c r="O75">
        <v>0</v>
      </c>
      <c r="P75">
        <v>10</v>
      </c>
    </row>
    <row r="76" spans="1:16" x14ac:dyDescent="0.3">
      <c r="A76" s="1" t="s">
        <v>250</v>
      </c>
      <c r="B76" s="1" t="s">
        <v>81</v>
      </c>
      <c r="C76" s="1" t="s">
        <v>56</v>
      </c>
      <c r="D76" s="2">
        <v>29.57967574203899</v>
      </c>
      <c r="E76">
        <v>0</v>
      </c>
      <c r="F76" s="1" t="s">
        <v>320</v>
      </c>
      <c r="G76" s="1"/>
      <c r="H76">
        <v>0</v>
      </c>
      <c r="I76">
        <v>0</v>
      </c>
      <c r="J76">
        <v>0</v>
      </c>
      <c r="K76">
        <v>0</v>
      </c>
      <c r="L76" s="1">
        <v>0</v>
      </c>
      <c r="M76">
        <v>0</v>
      </c>
      <c r="N76">
        <f t="shared" si="1"/>
        <v>0</v>
      </c>
      <c r="O76">
        <v>0</v>
      </c>
      <c r="P76">
        <v>4</v>
      </c>
    </row>
    <row r="77" spans="1:16" x14ac:dyDescent="0.3">
      <c r="A77" s="1" t="s">
        <v>251</v>
      </c>
      <c r="B77" s="1" t="s">
        <v>217</v>
      </c>
      <c r="C77" s="1" t="s">
        <v>72</v>
      </c>
      <c r="D77" s="2">
        <v>9</v>
      </c>
      <c r="E77">
        <v>2</v>
      </c>
      <c r="F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f t="shared" si="1"/>
        <v>0</v>
      </c>
      <c r="O77">
        <v>9</v>
      </c>
      <c r="P77">
        <v>13</v>
      </c>
    </row>
    <row r="78" spans="1:16" x14ac:dyDescent="0.3">
      <c r="A78" s="1" t="s">
        <v>252</v>
      </c>
      <c r="B78" s="1" t="s">
        <v>77</v>
      </c>
      <c r="C78" s="1" t="s">
        <v>72</v>
      </c>
      <c r="D78" s="2">
        <v>17.687467340063542</v>
      </c>
      <c r="E78">
        <v>2</v>
      </c>
      <c r="F78" s="1" t="s">
        <v>320</v>
      </c>
      <c r="G78" s="1"/>
      <c r="H78">
        <v>0</v>
      </c>
      <c r="I78">
        <v>0</v>
      </c>
      <c r="J78">
        <v>0</v>
      </c>
      <c r="K78">
        <v>0</v>
      </c>
      <c r="L78" s="1">
        <v>0</v>
      </c>
      <c r="M78">
        <v>0</v>
      </c>
      <c r="N78">
        <f t="shared" si="1"/>
        <v>0</v>
      </c>
      <c r="O78">
        <v>17</v>
      </c>
      <c r="P78">
        <v>19</v>
      </c>
    </row>
    <row r="79" spans="1:16" x14ac:dyDescent="0.3">
      <c r="A79" s="1" t="s">
        <v>253</v>
      </c>
      <c r="B79" s="1" t="s">
        <v>91</v>
      </c>
      <c r="C79" s="1" t="s">
        <v>217</v>
      </c>
      <c r="D79" s="2">
        <v>32</v>
      </c>
      <c r="E79">
        <v>2</v>
      </c>
      <c r="F79">
        <v>0</v>
      </c>
      <c r="G79">
        <v>36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f t="shared" si="1"/>
        <v>0</v>
      </c>
      <c r="O79">
        <v>9</v>
      </c>
      <c r="P79">
        <v>13</v>
      </c>
    </row>
    <row r="80" spans="1:16" x14ac:dyDescent="0.3">
      <c r="A80" s="1" t="s">
        <v>254</v>
      </c>
      <c r="B80" s="1" t="s">
        <v>77</v>
      </c>
      <c r="C80" s="1" t="s">
        <v>81</v>
      </c>
      <c r="D80" s="2">
        <v>11.419910378654251</v>
      </c>
      <c r="E80">
        <v>2</v>
      </c>
      <c r="F80" s="1" t="s">
        <v>295</v>
      </c>
      <c r="G80" s="1"/>
      <c r="H80">
        <v>0</v>
      </c>
      <c r="I80">
        <v>0</v>
      </c>
      <c r="J80">
        <v>0</v>
      </c>
      <c r="K80">
        <v>0</v>
      </c>
      <c r="L80" s="1">
        <v>0</v>
      </c>
      <c r="M80">
        <v>0</v>
      </c>
      <c r="N80">
        <f t="shared" si="1"/>
        <v>0</v>
      </c>
      <c r="O80">
        <v>14</v>
      </c>
      <c r="P80">
        <v>4</v>
      </c>
    </row>
    <row r="81" spans="1:16" x14ac:dyDescent="0.3">
      <c r="A81" s="1" t="s">
        <v>255</v>
      </c>
      <c r="B81" s="1" t="s">
        <v>86</v>
      </c>
      <c r="C81" s="1" t="s">
        <v>77</v>
      </c>
      <c r="D81" s="2">
        <v>11.9039000374342</v>
      </c>
      <c r="E81">
        <v>1</v>
      </c>
      <c r="F81" s="1" t="s">
        <v>320</v>
      </c>
      <c r="G81" s="1"/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f t="shared" si="1"/>
        <v>0</v>
      </c>
      <c r="O81">
        <v>18</v>
      </c>
      <c r="P81">
        <v>19</v>
      </c>
    </row>
    <row r="82" spans="1:16" x14ac:dyDescent="0.3">
      <c r="A82" s="1" t="s">
        <v>256</v>
      </c>
      <c r="B82" s="1" t="s">
        <v>91</v>
      </c>
      <c r="C82" s="1" t="s">
        <v>86</v>
      </c>
      <c r="D82" s="2">
        <v>19.441036896411159</v>
      </c>
      <c r="E82">
        <v>1</v>
      </c>
      <c r="F82" s="1" t="s">
        <v>320</v>
      </c>
      <c r="G82" s="1"/>
      <c r="H82">
        <v>0</v>
      </c>
      <c r="I82">
        <v>0</v>
      </c>
      <c r="J82">
        <v>0</v>
      </c>
      <c r="K82">
        <v>0</v>
      </c>
      <c r="L82" s="1">
        <v>0</v>
      </c>
      <c r="M82">
        <v>0</v>
      </c>
      <c r="N82">
        <f t="shared" si="1"/>
        <v>0</v>
      </c>
      <c r="O82">
        <v>2</v>
      </c>
      <c r="P82">
        <v>14</v>
      </c>
    </row>
    <row r="83" spans="1:16" x14ac:dyDescent="0.3">
      <c r="A83" s="1" t="s">
        <v>257</v>
      </c>
      <c r="B83" s="1" t="s">
        <v>135</v>
      </c>
      <c r="C83" s="1" t="s">
        <v>86</v>
      </c>
      <c r="D83" s="2">
        <v>39.500777900897617</v>
      </c>
      <c r="E83">
        <v>2</v>
      </c>
      <c r="F83" s="1" t="s">
        <v>320</v>
      </c>
      <c r="G83" s="1"/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f t="shared" si="1"/>
        <v>0</v>
      </c>
      <c r="O83">
        <v>0</v>
      </c>
      <c r="P83">
        <v>9</v>
      </c>
    </row>
    <row r="84" spans="1:16" x14ac:dyDescent="0.3">
      <c r="A84" s="1" t="s">
        <v>258</v>
      </c>
      <c r="B84" s="1" t="s">
        <v>155</v>
      </c>
      <c r="C84" s="1" t="s">
        <v>86</v>
      </c>
      <c r="D84" s="2">
        <v>28.061234215104989</v>
      </c>
      <c r="E84">
        <v>2</v>
      </c>
      <c r="F84" s="1" t="s">
        <v>320</v>
      </c>
      <c r="G84" s="1" t="s">
        <v>91</v>
      </c>
      <c r="H84">
        <v>0</v>
      </c>
      <c r="I84">
        <v>0</v>
      </c>
      <c r="J84">
        <v>0</v>
      </c>
      <c r="K84">
        <v>0</v>
      </c>
      <c r="L84" s="1">
        <v>0</v>
      </c>
      <c r="M84">
        <v>0</v>
      </c>
      <c r="N84">
        <f t="shared" si="1"/>
        <v>0</v>
      </c>
      <c r="O84">
        <v>2</v>
      </c>
      <c r="P84">
        <v>11</v>
      </c>
    </row>
    <row r="85" spans="1:16" x14ac:dyDescent="0.3">
      <c r="A85" s="1" t="s">
        <v>259</v>
      </c>
      <c r="B85" s="1" t="s">
        <v>96</v>
      </c>
      <c r="C85" s="1" t="s">
        <v>91</v>
      </c>
      <c r="D85" s="2">
        <v>73</v>
      </c>
      <c r="E85">
        <v>0</v>
      </c>
      <c r="F85" s="1" t="s">
        <v>320</v>
      </c>
      <c r="G85" s="1"/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f t="shared" si="1"/>
        <v>0</v>
      </c>
      <c r="O85">
        <v>0</v>
      </c>
      <c r="P85">
        <v>6</v>
      </c>
    </row>
    <row r="86" spans="1:16" x14ac:dyDescent="0.3">
      <c r="A86" s="1" t="s">
        <v>260</v>
      </c>
      <c r="B86" s="1" t="s">
        <v>131</v>
      </c>
      <c r="C86" s="1" t="s">
        <v>91</v>
      </c>
      <c r="D86" s="2">
        <v>15.073675496176911</v>
      </c>
      <c r="E86">
        <v>2</v>
      </c>
      <c r="F86" s="1" t="s">
        <v>320</v>
      </c>
      <c r="G86" s="1">
        <v>36</v>
      </c>
      <c r="H86">
        <v>0</v>
      </c>
      <c r="I86">
        <v>0</v>
      </c>
      <c r="J86">
        <v>0</v>
      </c>
      <c r="K86">
        <v>0</v>
      </c>
      <c r="L86" s="1">
        <v>0</v>
      </c>
      <c r="M86">
        <v>0</v>
      </c>
      <c r="N86">
        <f t="shared" si="1"/>
        <v>0</v>
      </c>
      <c r="O86">
        <v>4</v>
      </c>
      <c r="P86">
        <v>4</v>
      </c>
    </row>
    <row r="87" spans="1:16" x14ac:dyDescent="0.3">
      <c r="A87" s="1" t="s">
        <v>261</v>
      </c>
      <c r="B87" s="1" t="s">
        <v>101</v>
      </c>
      <c r="C87" s="1" t="s">
        <v>96</v>
      </c>
      <c r="D87" s="2">
        <v>27.94847030040475</v>
      </c>
      <c r="E87">
        <v>0</v>
      </c>
      <c r="F87" s="1" t="s">
        <v>320</v>
      </c>
      <c r="G87" s="1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f t="shared" si="1"/>
        <v>0</v>
      </c>
      <c r="O87">
        <v>3</v>
      </c>
      <c r="P87">
        <v>2</v>
      </c>
    </row>
    <row r="88" spans="1:16" x14ac:dyDescent="0.3">
      <c r="A88" s="1" t="s">
        <v>262</v>
      </c>
      <c r="B88" s="1" t="s">
        <v>106</v>
      </c>
      <c r="C88" s="1" t="s">
        <v>96</v>
      </c>
      <c r="D88" s="2">
        <v>37.639064941173807</v>
      </c>
      <c r="E88">
        <v>0</v>
      </c>
      <c r="F88" s="1" t="s">
        <v>320</v>
      </c>
      <c r="G88" s="1"/>
      <c r="H88">
        <v>0</v>
      </c>
      <c r="I88">
        <v>0</v>
      </c>
      <c r="J88">
        <v>0</v>
      </c>
      <c r="K88">
        <v>0</v>
      </c>
      <c r="L88" s="1">
        <v>0</v>
      </c>
      <c r="M88">
        <v>0</v>
      </c>
      <c r="N88">
        <f t="shared" si="1"/>
        <v>0</v>
      </c>
      <c r="O88">
        <v>0</v>
      </c>
      <c r="P88">
        <v>3</v>
      </c>
    </row>
    <row r="89" spans="1:16" x14ac:dyDescent="0.3">
      <c r="A89" s="1" t="s">
        <v>263</v>
      </c>
      <c r="B89" s="1" t="s">
        <v>126</v>
      </c>
      <c r="C89" s="1" t="s">
        <v>131</v>
      </c>
      <c r="D89" s="2">
        <v>26.206057207203251</v>
      </c>
      <c r="E89">
        <v>2</v>
      </c>
      <c r="F89" s="1" t="s">
        <v>320</v>
      </c>
      <c r="G89" s="1">
        <v>36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f t="shared" si="1"/>
        <v>0</v>
      </c>
      <c r="O89">
        <v>9</v>
      </c>
      <c r="P89">
        <v>7</v>
      </c>
    </row>
    <row r="90" spans="1:16" x14ac:dyDescent="0.3">
      <c r="A90" s="1" t="s">
        <v>264</v>
      </c>
      <c r="B90" s="1" t="s">
        <v>135</v>
      </c>
      <c r="C90" s="1" t="s">
        <v>131</v>
      </c>
      <c r="D90" s="2">
        <v>16.080088001591839</v>
      </c>
      <c r="E90">
        <v>0</v>
      </c>
      <c r="F90" s="1" t="s">
        <v>320</v>
      </c>
      <c r="G90" s="1"/>
      <c r="H90">
        <v>0</v>
      </c>
      <c r="I90">
        <v>0</v>
      </c>
      <c r="J90">
        <v>0</v>
      </c>
      <c r="K90">
        <v>0</v>
      </c>
      <c r="L90" s="1">
        <v>0</v>
      </c>
      <c r="M90">
        <v>0</v>
      </c>
      <c r="N90">
        <f t="shared" si="1"/>
        <v>0</v>
      </c>
      <c r="O90">
        <v>0</v>
      </c>
      <c r="P90">
        <v>2</v>
      </c>
    </row>
    <row r="91" spans="1:16" x14ac:dyDescent="0.3">
      <c r="A91" s="1" t="s">
        <v>265</v>
      </c>
      <c r="B91" s="1" t="s">
        <v>145</v>
      </c>
      <c r="C91" s="1" t="s">
        <v>135</v>
      </c>
      <c r="D91" s="2">
        <v>16.043150600481741</v>
      </c>
      <c r="E91">
        <v>0</v>
      </c>
      <c r="F91" s="1" t="s">
        <v>320</v>
      </c>
      <c r="G91" s="1"/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f t="shared" si="1"/>
        <v>0</v>
      </c>
      <c r="O91">
        <v>0</v>
      </c>
      <c r="P91">
        <v>9</v>
      </c>
    </row>
    <row r="92" spans="1:16" x14ac:dyDescent="0.3">
      <c r="A92" s="1" t="s">
        <v>266</v>
      </c>
      <c r="B92" s="1" t="s">
        <v>101</v>
      </c>
      <c r="C92" s="1" t="s">
        <v>126</v>
      </c>
      <c r="D92" s="2">
        <v>17</v>
      </c>
      <c r="E92">
        <v>2</v>
      </c>
      <c r="F92" s="1" t="s">
        <v>320</v>
      </c>
      <c r="G92" s="1">
        <v>36</v>
      </c>
      <c r="H92">
        <v>0</v>
      </c>
      <c r="I92">
        <v>0</v>
      </c>
      <c r="J92">
        <v>0</v>
      </c>
      <c r="K92">
        <v>0</v>
      </c>
      <c r="L92" s="1">
        <v>0</v>
      </c>
      <c r="M92">
        <v>0</v>
      </c>
      <c r="N92">
        <f t="shared" si="1"/>
        <v>0</v>
      </c>
      <c r="O92">
        <v>18</v>
      </c>
      <c r="P92">
        <v>9</v>
      </c>
    </row>
    <row r="93" spans="1:16" x14ac:dyDescent="0.3">
      <c r="A93" s="1" t="s">
        <v>267</v>
      </c>
      <c r="B93" s="1" t="s">
        <v>121</v>
      </c>
      <c r="C93" s="1" t="s">
        <v>126</v>
      </c>
      <c r="D93" s="2">
        <v>23</v>
      </c>
      <c r="E93">
        <v>0</v>
      </c>
      <c r="F93" s="1" t="s">
        <v>320</v>
      </c>
      <c r="G93" s="1"/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f t="shared" si="1"/>
        <v>0</v>
      </c>
      <c r="O93">
        <v>1</v>
      </c>
      <c r="P93">
        <v>2</v>
      </c>
    </row>
    <row r="94" spans="1:16" x14ac:dyDescent="0.3">
      <c r="A94" s="1" t="s">
        <v>268</v>
      </c>
      <c r="B94" s="1" t="s">
        <v>101</v>
      </c>
      <c r="C94" s="1" t="s">
        <v>121</v>
      </c>
      <c r="D94" s="2">
        <v>12.69730718365612</v>
      </c>
      <c r="E94">
        <v>2</v>
      </c>
      <c r="F94" s="1" t="s">
        <v>320</v>
      </c>
      <c r="G94" s="1">
        <v>36</v>
      </c>
      <c r="H94">
        <v>0</v>
      </c>
      <c r="I94">
        <v>0</v>
      </c>
      <c r="J94">
        <v>0</v>
      </c>
      <c r="K94">
        <v>0</v>
      </c>
      <c r="L94" s="1">
        <v>0</v>
      </c>
      <c r="M94">
        <v>0</v>
      </c>
      <c r="N94">
        <f t="shared" si="1"/>
        <v>0</v>
      </c>
      <c r="O94">
        <v>4</v>
      </c>
      <c r="P94">
        <v>4</v>
      </c>
    </row>
    <row r="95" spans="1:16" x14ac:dyDescent="0.3">
      <c r="A95" s="1" t="s">
        <v>269</v>
      </c>
      <c r="B95" s="1" t="s">
        <v>111</v>
      </c>
      <c r="C95" s="1" t="s">
        <v>121</v>
      </c>
      <c r="D95" s="2">
        <v>43.035431876602253</v>
      </c>
      <c r="E95">
        <v>0</v>
      </c>
      <c r="F95" s="1" t="s">
        <v>320</v>
      </c>
      <c r="G95" s="1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f t="shared" si="1"/>
        <v>0</v>
      </c>
      <c r="O95">
        <v>0</v>
      </c>
      <c r="P95">
        <v>2</v>
      </c>
    </row>
    <row r="96" spans="1:16" x14ac:dyDescent="0.3">
      <c r="A96" s="1" t="s">
        <v>270</v>
      </c>
      <c r="B96" s="1" t="s">
        <v>116</v>
      </c>
      <c r="C96" s="1" t="s">
        <v>121</v>
      </c>
      <c r="D96" s="2">
        <v>40.85792317403267</v>
      </c>
      <c r="E96">
        <v>0</v>
      </c>
      <c r="F96" s="1" t="s">
        <v>320</v>
      </c>
      <c r="G96" s="1"/>
      <c r="H96">
        <v>0</v>
      </c>
      <c r="I96">
        <v>0</v>
      </c>
      <c r="J96">
        <v>0</v>
      </c>
      <c r="K96">
        <v>0</v>
      </c>
      <c r="L96" s="1">
        <v>0</v>
      </c>
      <c r="M96">
        <v>0</v>
      </c>
      <c r="N96">
        <f t="shared" si="1"/>
        <v>0</v>
      </c>
      <c r="O96">
        <v>2534</v>
      </c>
      <c r="P96">
        <v>2</v>
      </c>
    </row>
    <row r="97" spans="1:16" x14ac:dyDescent="0.3">
      <c r="A97" s="1" t="s">
        <v>271</v>
      </c>
      <c r="B97" s="1" t="s">
        <v>145</v>
      </c>
      <c r="C97" s="1" t="s">
        <v>121</v>
      </c>
      <c r="D97" s="2">
        <v>33</v>
      </c>
      <c r="E97">
        <v>2</v>
      </c>
      <c r="F97" s="1" t="s">
        <v>320</v>
      </c>
      <c r="G97" s="1"/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f t="shared" si="1"/>
        <v>0</v>
      </c>
      <c r="O97">
        <v>2</v>
      </c>
      <c r="P97">
        <v>6</v>
      </c>
    </row>
    <row r="98" spans="1:16" x14ac:dyDescent="0.3">
      <c r="A98" s="1" t="s">
        <v>272</v>
      </c>
      <c r="B98" s="1" t="s">
        <v>106</v>
      </c>
      <c r="C98" s="1" t="s">
        <v>101</v>
      </c>
      <c r="D98" s="2">
        <v>31.638521390268441</v>
      </c>
      <c r="E98">
        <v>2</v>
      </c>
      <c r="F98" s="1" t="s">
        <v>320</v>
      </c>
      <c r="G98" s="1">
        <v>54</v>
      </c>
      <c r="H98">
        <v>0</v>
      </c>
      <c r="I98">
        <v>0</v>
      </c>
      <c r="J98">
        <v>0</v>
      </c>
      <c r="K98">
        <v>0</v>
      </c>
      <c r="L98" s="1">
        <v>0</v>
      </c>
      <c r="M98">
        <v>0</v>
      </c>
      <c r="N98">
        <f t="shared" si="1"/>
        <v>0</v>
      </c>
      <c r="O98">
        <v>21</v>
      </c>
      <c r="P98">
        <v>8</v>
      </c>
    </row>
    <row r="99" spans="1:16" x14ac:dyDescent="0.3">
      <c r="A99" s="1" t="s">
        <v>273</v>
      </c>
      <c r="B99" s="1" t="s">
        <v>111</v>
      </c>
      <c r="C99" s="1" t="s">
        <v>106</v>
      </c>
      <c r="D99" s="2">
        <v>17.657917775682769</v>
      </c>
      <c r="E99">
        <v>2</v>
      </c>
      <c r="F99" s="1" t="s">
        <v>320</v>
      </c>
      <c r="G99" s="1">
        <v>54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f t="shared" si="1"/>
        <v>0</v>
      </c>
      <c r="O99">
        <v>8</v>
      </c>
      <c r="P99">
        <v>11</v>
      </c>
    </row>
    <row r="100" spans="1:16" x14ac:dyDescent="0.3">
      <c r="A100" s="1" t="s">
        <v>274</v>
      </c>
      <c r="B100" s="1" t="s">
        <v>27</v>
      </c>
      <c r="C100" s="1" t="s">
        <v>111</v>
      </c>
      <c r="D100" s="2">
        <v>17.596180055055321</v>
      </c>
      <c r="E100" t="s">
        <v>327</v>
      </c>
      <c r="F100" s="1" t="s">
        <v>320</v>
      </c>
      <c r="G100" s="1" t="s">
        <v>230</v>
      </c>
      <c r="H100">
        <v>0</v>
      </c>
      <c r="I100">
        <v>0</v>
      </c>
      <c r="J100">
        <v>2</v>
      </c>
      <c r="K100">
        <v>2</v>
      </c>
      <c r="L100">
        <v>3</v>
      </c>
      <c r="M100">
        <v>2</v>
      </c>
      <c r="N100">
        <f t="shared" si="1"/>
        <v>4</v>
      </c>
      <c r="O100">
        <v>14</v>
      </c>
      <c r="P100">
        <v>3</v>
      </c>
    </row>
    <row r="101" spans="1:16" x14ac:dyDescent="0.3">
      <c r="A101" s="1" t="s">
        <v>275</v>
      </c>
      <c r="B101" s="1" t="s">
        <v>179</v>
      </c>
      <c r="C101" s="1" t="s">
        <v>174</v>
      </c>
      <c r="D101" s="2">
        <v>21.856429352510261</v>
      </c>
      <c r="E101">
        <v>2</v>
      </c>
      <c r="F101" s="1" t="s">
        <v>320</v>
      </c>
      <c r="G101" s="1"/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f t="shared" si="1"/>
        <v>0</v>
      </c>
      <c r="O101">
        <v>2</v>
      </c>
      <c r="P101">
        <v>6</v>
      </c>
    </row>
    <row r="102" spans="1:16" x14ac:dyDescent="0.3">
      <c r="A102" s="1" t="s">
        <v>204</v>
      </c>
      <c r="B102" s="1" t="s">
        <v>184</v>
      </c>
      <c r="C102" s="1" t="s">
        <v>174</v>
      </c>
      <c r="D102" s="2">
        <v>13.16677981177515</v>
      </c>
      <c r="E102">
        <v>4</v>
      </c>
      <c r="F102" s="1" t="s">
        <v>301</v>
      </c>
      <c r="G102" s="1"/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f t="shared" si="1"/>
        <v>0</v>
      </c>
      <c r="O102">
        <v>10</v>
      </c>
      <c r="P102">
        <v>13</v>
      </c>
    </row>
    <row r="103" spans="1:16" x14ac:dyDescent="0.3">
      <c r="A103" s="1" t="s">
        <v>209</v>
      </c>
      <c r="B103" s="1" t="s">
        <v>184</v>
      </c>
      <c r="C103" s="1" t="s">
        <v>179</v>
      </c>
      <c r="D103" s="2">
        <v>22.990135571128469</v>
      </c>
      <c r="E103">
        <v>2</v>
      </c>
      <c r="F103" s="1" t="s">
        <v>309</v>
      </c>
      <c r="G103" s="1"/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f t="shared" si="1"/>
        <v>0</v>
      </c>
      <c r="O103">
        <v>20</v>
      </c>
      <c r="P103">
        <v>4</v>
      </c>
    </row>
    <row r="104" spans="1:16" x14ac:dyDescent="0.3">
      <c r="A104" s="1" t="s">
        <v>276</v>
      </c>
      <c r="B104" s="1" t="s">
        <v>41</v>
      </c>
      <c r="C104" s="1" t="s">
        <v>179</v>
      </c>
      <c r="D104" s="2">
        <v>8.0442500953485698</v>
      </c>
      <c r="E104" t="s">
        <v>327</v>
      </c>
      <c r="F104" s="1" t="s">
        <v>309</v>
      </c>
      <c r="G104" s="1" t="s">
        <v>281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f t="shared" si="1"/>
        <v>0</v>
      </c>
      <c r="O104">
        <v>53</v>
      </c>
      <c r="P104">
        <v>6</v>
      </c>
    </row>
    <row r="105" spans="1:16" x14ac:dyDescent="0.3">
      <c r="A105" s="1" t="s">
        <v>277</v>
      </c>
      <c r="B105" s="1" t="s">
        <v>164</v>
      </c>
      <c r="C105" s="1" t="s">
        <v>184</v>
      </c>
      <c r="D105" s="2">
        <v>21.373638470841371</v>
      </c>
      <c r="E105">
        <v>4</v>
      </c>
      <c r="F105" s="1" t="s">
        <v>301</v>
      </c>
      <c r="G105" s="1" t="s">
        <v>179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f t="shared" si="1"/>
        <v>0</v>
      </c>
      <c r="O105">
        <v>86</v>
      </c>
      <c r="P105">
        <v>10</v>
      </c>
    </row>
    <row r="106" spans="1:16" x14ac:dyDescent="0.3">
      <c r="A106" s="1" t="s">
        <v>278</v>
      </c>
      <c r="B106" s="1" t="s">
        <v>169</v>
      </c>
      <c r="C106" s="1" t="s">
        <v>164</v>
      </c>
      <c r="D106" s="2">
        <v>16.665282238342702</v>
      </c>
      <c r="E106">
        <v>4</v>
      </c>
      <c r="F106" s="1" t="s">
        <v>301</v>
      </c>
      <c r="G106" s="1"/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f t="shared" si="1"/>
        <v>0</v>
      </c>
      <c r="O106">
        <v>78</v>
      </c>
      <c r="P106">
        <v>8</v>
      </c>
    </row>
    <row r="107" spans="1:16" x14ac:dyDescent="0.3">
      <c r="A107" s="1" t="s">
        <v>279</v>
      </c>
      <c r="B107" s="1" t="s">
        <v>159</v>
      </c>
      <c r="C107" s="1" t="s">
        <v>164</v>
      </c>
      <c r="D107" s="2">
        <v>20.589232048764579</v>
      </c>
      <c r="E107">
        <v>2</v>
      </c>
      <c r="F107" s="1" t="s">
        <v>297</v>
      </c>
      <c r="G107" s="1"/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f t="shared" si="1"/>
        <v>0</v>
      </c>
      <c r="O107">
        <v>10</v>
      </c>
      <c r="P107">
        <v>6</v>
      </c>
    </row>
    <row r="108" spans="1:16" x14ac:dyDescent="0.3">
      <c r="A108" s="1" t="s">
        <v>280</v>
      </c>
      <c r="B108" s="1" t="s">
        <v>189</v>
      </c>
      <c r="C108" s="1" t="s">
        <v>169</v>
      </c>
      <c r="D108" s="2">
        <v>19.273534345386231</v>
      </c>
      <c r="E108">
        <v>4</v>
      </c>
      <c r="F108" s="1" t="s">
        <v>301</v>
      </c>
      <c r="G108" s="1"/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f t="shared" si="1"/>
        <v>0</v>
      </c>
      <c r="O108">
        <v>28</v>
      </c>
      <c r="P108">
        <v>16</v>
      </c>
    </row>
    <row r="109" spans="1:16" x14ac:dyDescent="0.3">
      <c r="A109" s="1" t="s">
        <v>281</v>
      </c>
      <c r="B109" s="1" t="s">
        <v>159</v>
      </c>
      <c r="C109" s="1" t="s">
        <v>169</v>
      </c>
      <c r="D109" s="2">
        <v>11.972313908110589</v>
      </c>
      <c r="E109">
        <v>2</v>
      </c>
      <c r="F109" s="1" t="s">
        <v>320</v>
      </c>
      <c r="G109" s="1"/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f t="shared" si="1"/>
        <v>0</v>
      </c>
      <c r="O109">
        <v>9</v>
      </c>
      <c r="P109">
        <v>10</v>
      </c>
    </row>
    <row r="110" spans="1:16" x14ac:dyDescent="0.3">
      <c r="A110" s="1" t="s">
        <v>282</v>
      </c>
      <c r="B110" s="1" t="s">
        <v>155</v>
      </c>
      <c r="C110" s="1" t="s">
        <v>159</v>
      </c>
      <c r="D110" s="2">
        <v>18.79830710910274</v>
      </c>
      <c r="E110">
        <v>2</v>
      </c>
      <c r="F110" s="1" t="s">
        <v>297</v>
      </c>
      <c r="G110" s="1" t="s">
        <v>91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f t="shared" si="1"/>
        <v>0</v>
      </c>
      <c r="O110">
        <v>18</v>
      </c>
      <c r="P110">
        <v>9</v>
      </c>
    </row>
    <row r="111" spans="1:16" x14ac:dyDescent="0.3">
      <c r="A111" s="1" t="s">
        <v>283</v>
      </c>
      <c r="B111" s="1" t="s">
        <v>150</v>
      </c>
      <c r="C111" s="1" t="s">
        <v>159</v>
      </c>
      <c r="D111" s="2">
        <v>42.165000061961251</v>
      </c>
      <c r="E111">
        <v>0</v>
      </c>
      <c r="F111" s="1" t="s">
        <v>320</v>
      </c>
      <c r="G111" s="1"/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f t="shared" si="1"/>
        <v>0</v>
      </c>
      <c r="O111">
        <v>1</v>
      </c>
      <c r="P111">
        <v>6</v>
      </c>
    </row>
    <row r="112" spans="1:16" x14ac:dyDescent="0.3">
      <c r="A112" s="1" t="s">
        <v>284</v>
      </c>
      <c r="B112" s="1" t="s">
        <v>150</v>
      </c>
      <c r="C112" s="1" t="s">
        <v>155</v>
      </c>
      <c r="D112" s="2">
        <v>39.853056149954732</v>
      </c>
      <c r="E112">
        <v>6</v>
      </c>
      <c r="F112" s="1" t="s">
        <v>301</v>
      </c>
      <c r="G112" s="1">
        <v>180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f t="shared" si="1"/>
        <v>0</v>
      </c>
      <c r="O112">
        <v>768</v>
      </c>
      <c r="P112">
        <v>10</v>
      </c>
    </row>
    <row r="113" spans="1:16" x14ac:dyDescent="0.3">
      <c r="A113" s="1" t="s">
        <v>285</v>
      </c>
      <c r="B113" s="1" t="s">
        <v>145</v>
      </c>
      <c r="C113" s="1" t="s">
        <v>150</v>
      </c>
      <c r="D113" s="2">
        <v>16.032524534719801</v>
      </c>
      <c r="E113">
        <v>2</v>
      </c>
      <c r="F113" s="1" t="s">
        <v>320</v>
      </c>
      <c r="G113" s="1"/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f t="shared" si="1"/>
        <v>0</v>
      </c>
      <c r="O113">
        <v>5</v>
      </c>
      <c r="P113">
        <v>14</v>
      </c>
    </row>
    <row r="114" spans="1:16" x14ac:dyDescent="0.3">
      <c r="A114" s="1" t="s">
        <v>286</v>
      </c>
      <c r="B114" s="1" t="s">
        <v>140</v>
      </c>
      <c r="C114" s="1" t="s">
        <v>150</v>
      </c>
      <c r="D114" s="2">
        <v>32</v>
      </c>
      <c r="E114">
        <v>6</v>
      </c>
      <c r="F114" s="1" t="s">
        <v>301</v>
      </c>
      <c r="G114" s="1">
        <v>180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f t="shared" si="1"/>
        <v>0</v>
      </c>
      <c r="O114">
        <v>759</v>
      </c>
      <c r="P114">
        <v>10</v>
      </c>
    </row>
    <row r="115" spans="1:16" x14ac:dyDescent="0.3">
      <c r="A115" s="1" t="s">
        <v>287</v>
      </c>
      <c r="B115" s="1" t="s">
        <v>194</v>
      </c>
      <c r="C115" s="1" t="s">
        <v>150</v>
      </c>
      <c r="D115" s="2">
        <v>64</v>
      </c>
      <c r="E115">
        <v>0</v>
      </c>
      <c r="F115" s="1" t="s">
        <v>320</v>
      </c>
      <c r="G115" s="1"/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f t="shared" si="1"/>
        <v>0</v>
      </c>
      <c r="O115">
        <v>0</v>
      </c>
      <c r="P115">
        <v>4</v>
      </c>
    </row>
    <row r="116" spans="1:16" x14ac:dyDescent="0.3">
      <c r="A116" s="1" t="s">
        <v>288</v>
      </c>
      <c r="B116" s="1" t="s">
        <v>145</v>
      </c>
      <c r="C116" s="1" t="s">
        <v>140</v>
      </c>
      <c r="D116" s="2">
        <v>18</v>
      </c>
      <c r="E116">
        <v>0</v>
      </c>
      <c r="F116" s="1" t="s">
        <v>320</v>
      </c>
      <c r="G116" s="1"/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f t="shared" si="1"/>
        <v>0</v>
      </c>
      <c r="O116">
        <v>101</v>
      </c>
      <c r="P116">
        <v>7</v>
      </c>
    </row>
    <row r="117" spans="1:16" x14ac:dyDescent="0.3">
      <c r="A117" s="1" t="s">
        <v>289</v>
      </c>
      <c r="B117" s="1" t="s">
        <v>116</v>
      </c>
      <c r="C117" s="1" t="s">
        <v>140</v>
      </c>
      <c r="D117" s="2">
        <v>44.459294447621893</v>
      </c>
      <c r="E117">
        <v>0</v>
      </c>
      <c r="F117" s="1" t="s">
        <v>320</v>
      </c>
      <c r="G117" s="1"/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f t="shared" si="1"/>
        <v>0</v>
      </c>
      <c r="O117">
        <v>0</v>
      </c>
      <c r="P117">
        <v>4</v>
      </c>
    </row>
    <row r="118" spans="1:16" x14ac:dyDescent="0.3">
      <c r="A118" s="1" t="s">
        <v>290</v>
      </c>
      <c r="B118" s="1" t="s">
        <v>33</v>
      </c>
      <c r="C118" s="1" t="s">
        <v>140</v>
      </c>
      <c r="D118" s="2">
        <v>5.0752748951873361</v>
      </c>
      <c r="E118" t="s">
        <v>327</v>
      </c>
      <c r="F118" s="1" t="s">
        <v>301</v>
      </c>
      <c r="G118" s="5" t="s">
        <v>271</v>
      </c>
      <c r="H118">
        <v>0</v>
      </c>
      <c r="I118">
        <v>1</v>
      </c>
      <c r="J118">
        <v>6</v>
      </c>
      <c r="K118">
        <v>7</v>
      </c>
      <c r="L118">
        <v>10</v>
      </c>
      <c r="M118">
        <v>12</v>
      </c>
      <c r="N118">
        <f t="shared" si="1"/>
        <v>13</v>
      </c>
      <c r="O118">
        <v>163</v>
      </c>
      <c r="P118">
        <v>5</v>
      </c>
    </row>
    <row r="119" spans="1:16" x14ac:dyDescent="0.3">
      <c r="A119" s="1" t="s">
        <v>291</v>
      </c>
      <c r="B119" s="1" t="s">
        <v>194</v>
      </c>
      <c r="C119" s="1" t="s">
        <v>189</v>
      </c>
      <c r="D119" s="2">
        <v>55</v>
      </c>
      <c r="E119">
        <v>4</v>
      </c>
      <c r="F119" s="1" t="s">
        <v>301</v>
      </c>
      <c r="G119" s="1"/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f t="shared" si="1"/>
        <v>0</v>
      </c>
      <c r="O119">
        <v>35</v>
      </c>
      <c r="P119">
        <v>8</v>
      </c>
    </row>
    <row r="120" spans="1:16" x14ac:dyDescent="0.3">
      <c r="A120" s="1" t="s">
        <v>292</v>
      </c>
      <c r="B120" s="1" t="s">
        <v>199</v>
      </c>
      <c r="C120" s="1" t="s">
        <v>189</v>
      </c>
      <c r="D120" s="2">
        <v>45.424783572726803</v>
      </c>
      <c r="E120">
        <v>2</v>
      </c>
      <c r="F120" s="1" t="s">
        <v>320</v>
      </c>
      <c r="G120" s="1"/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f t="shared" si="1"/>
        <v>0</v>
      </c>
      <c r="O120">
        <v>2</v>
      </c>
      <c r="P120">
        <v>8</v>
      </c>
    </row>
    <row r="121" spans="1:16" x14ac:dyDescent="0.3">
      <c r="A121" s="1" t="s">
        <v>293</v>
      </c>
      <c r="B121" s="1" t="s">
        <v>199</v>
      </c>
      <c r="C121" s="1" t="s">
        <v>194</v>
      </c>
      <c r="D121" s="2">
        <v>29</v>
      </c>
      <c r="E121">
        <v>1</v>
      </c>
      <c r="F121" s="1" t="s">
        <v>305</v>
      </c>
      <c r="G121" s="1"/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f t="shared" si="1"/>
        <v>0</v>
      </c>
      <c r="O121">
        <v>10</v>
      </c>
      <c r="P121">
        <v>3</v>
      </c>
    </row>
    <row r="122" spans="1:16" x14ac:dyDescent="0.3">
      <c r="A122" s="1" t="s">
        <v>294</v>
      </c>
      <c r="B122" s="1" t="s">
        <v>37</v>
      </c>
      <c r="C122" s="1" t="s">
        <v>194</v>
      </c>
      <c r="D122" s="2">
        <v>4.3008184551349826</v>
      </c>
      <c r="E122" t="s">
        <v>327</v>
      </c>
      <c r="F122" s="1" t="s">
        <v>309</v>
      </c>
      <c r="G122" s="1">
        <v>48</v>
      </c>
      <c r="H122">
        <v>0</v>
      </c>
      <c r="I122">
        <v>1</v>
      </c>
      <c r="J122">
        <v>1</v>
      </c>
      <c r="K122">
        <v>0</v>
      </c>
      <c r="L122">
        <v>2</v>
      </c>
      <c r="M122">
        <v>2</v>
      </c>
      <c r="N122">
        <f t="shared" si="1"/>
        <v>3</v>
      </c>
      <c r="O122">
        <v>235</v>
      </c>
      <c r="P122">
        <v>3</v>
      </c>
    </row>
    <row r="123" spans="1:16" x14ac:dyDescent="0.3">
      <c r="A123" s="1" t="s">
        <v>296</v>
      </c>
      <c r="B123" s="1" t="s">
        <v>45</v>
      </c>
      <c r="C123" s="1" t="s">
        <v>199</v>
      </c>
      <c r="D123" s="2">
        <v>28.127758747764041</v>
      </c>
      <c r="E123">
        <v>2</v>
      </c>
      <c r="F123" s="1" t="s">
        <v>320</v>
      </c>
      <c r="G123" s="1"/>
      <c r="H123">
        <v>0</v>
      </c>
      <c r="I123">
        <v>0</v>
      </c>
      <c r="J123">
        <v>0</v>
      </c>
      <c r="K123">
        <v>0</v>
      </c>
      <c r="L123">
        <v>1</v>
      </c>
      <c r="M123">
        <v>1</v>
      </c>
      <c r="N123">
        <f t="shared" si="1"/>
        <v>1</v>
      </c>
      <c r="O123">
        <v>10</v>
      </c>
      <c r="P123">
        <v>8</v>
      </c>
    </row>
    <row r="124" spans="1:16" x14ac:dyDescent="0.3">
      <c r="A124" s="1" t="s">
        <v>298</v>
      </c>
      <c r="B124" s="1" t="s">
        <v>204</v>
      </c>
      <c r="C124" s="1" t="s">
        <v>295</v>
      </c>
      <c r="D124" s="2">
        <v>0</v>
      </c>
      <c r="E124">
        <v>100</v>
      </c>
      <c r="F124" s="1" t="s">
        <v>320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f t="shared" si="1"/>
        <v>0</v>
      </c>
      <c r="O124">
        <v>0</v>
      </c>
      <c r="P124">
        <f t="shared" ref="P124" si="2">ROUND(N124*1.3,0)</f>
        <v>0</v>
      </c>
    </row>
    <row r="125" spans="1:16" x14ac:dyDescent="0.3">
      <c r="A125" s="1" t="s">
        <v>300</v>
      </c>
      <c r="B125" s="1" t="s">
        <v>204</v>
      </c>
      <c r="C125" s="1" t="s">
        <v>297</v>
      </c>
      <c r="D125" s="2">
        <v>0</v>
      </c>
      <c r="E125">
        <v>10</v>
      </c>
      <c r="F125" s="1" t="s">
        <v>320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3">
      <c r="A126" s="1" t="s">
        <v>302</v>
      </c>
      <c r="B126" s="1" t="s">
        <v>204</v>
      </c>
      <c r="C126" s="1" t="s">
        <v>299</v>
      </c>
      <c r="D126" s="2">
        <v>0</v>
      </c>
      <c r="E126">
        <v>10</v>
      </c>
      <c r="F126" s="1" t="s">
        <v>320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x14ac:dyDescent="0.3">
      <c r="A127" s="1" t="s">
        <v>304</v>
      </c>
      <c r="B127" s="1" t="s">
        <v>204</v>
      </c>
      <c r="C127" s="1" t="s">
        <v>301</v>
      </c>
      <c r="D127" s="2">
        <v>0</v>
      </c>
      <c r="E127">
        <v>10</v>
      </c>
      <c r="F127" s="1" t="s">
        <v>320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 x14ac:dyDescent="0.3">
      <c r="A128" s="1" t="s">
        <v>306</v>
      </c>
      <c r="B128" s="1" t="s">
        <v>303</v>
      </c>
      <c r="C128" s="1" t="s">
        <v>209</v>
      </c>
      <c r="D128" s="2">
        <v>0</v>
      </c>
      <c r="E128">
        <v>10</v>
      </c>
      <c r="F128" s="1" t="s">
        <v>320</v>
      </c>
      <c r="G128" s="1"/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3">
      <c r="A129" s="1" t="s">
        <v>308</v>
      </c>
      <c r="B129" s="1" t="s">
        <v>305</v>
      </c>
      <c r="C129" s="1" t="s">
        <v>209</v>
      </c>
      <c r="D129" s="2">
        <v>0</v>
      </c>
      <c r="E129">
        <v>10</v>
      </c>
      <c r="F129" s="1" t="s">
        <v>320</v>
      </c>
      <c r="G129" s="1"/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3">
      <c r="A130" s="1" t="s">
        <v>310</v>
      </c>
      <c r="B130" s="1" t="s">
        <v>307</v>
      </c>
      <c r="C130" s="1" t="s">
        <v>209</v>
      </c>
      <c r="D130" s="2">
        <v>0</v>
      </c>
      <c r="E130">
        <v>10</v>
      </c>
      <c r="F130" s="1" t="s">
        <v>320</v>
      </c>
      <c r="G130" s="1"/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3">
      <c r="A131" s="1" t="s">
        <v>317</v>
      </c>
      <c r="B131" s="1" t="s">
        <v>309</v>
      </c>
      <c r="C131" s="1" t="s">
        <v>209</v>
      </c>
      <c r="D131" s="2">
        <v>0</v>
      </c>
      <c r="E131">
        <v>10</v>
      </c>
      <c r="F131" s="1" t="s">
        <v>320</v>
      </c>
      <c r="G131" s="1"/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3">
      <c r="A132" s="1" t="s">
        <v>318</v>
      </c>
      <c r="B132" s="1" t="s">
        <v>311</v>
      </c>
      <c r="C132" s="1" t="s">
        <v>209</v>
      </c>
      <c r="D132" s="2">
        <v>0</v>
      </c>
      <c r="E132">
        <v>10</v>
      </c>
      <c r="F132" s="1" t="s">
        <v>320</v>
      </c>
      <c r="G132" s="1"/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5" spans="1:16" x14ac:dyDescent="0.3">
      <c r="B135">
        <f>ROUND(68*0.38,0)</f>
        <v>26</v>
      </c>
      <c r="C135">
        <v>118</v>
      </c>
    </row>
    <row r="136" spans="1:16" x14ac:dyDescent="0.3">
      <c r="B136">
        <f>ROUND(54*0.38,0)</f>
        <v>21</v>
      </c>
      <c r="C136">
        <v>14</v>
      </c>
    </row>
    <row r="137" spans="1:16" x14ac:dyDescent="0.3">
      <c r="B137">
        <f>ROUND(23*0.38,0)</f>
        <v>9</v>
      </c>
      <c r="C137">
        <v>23</v>
      </c>
      <c r="F137" s="1"/>
    </row>
    <row r="138" spans="1:16" x14ac:dyDescent="0.3">
      <c r="B138">
        <f>ROUND(70*0.38,0)</f>
        <v>27</v>
      </c>
      <c r="C138">
        <v>70</v>
      </c>
      <c r="F138" s="1"/>
      <c r="G138">
        <v>68</v>
      </c>
    </row>
    <row r="139" spans="1:16" x14ac:dyDescent="0.3">
      <c r="F139" s="1"/>
      <c r="G139">
        <v>54</v>
      </c>
    </row>
    <row r="140" spans="1:16" x14ac:dyDescent="0.3">
      <c r="G140">
        <v>23</v>
      </c>
    </row>
    <row r="141" spans="1:16" x14ac:dyDescent="0.3">
      <c r="G141">
        <v>70</v>
      </c>
      <c r="L141">
        <f>SUM(G138:G141)</f>
        <v>215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D2B48-E5B7-454C-B67A-769CD62D1C06}">
  <dimension ref="A1:AD141"/>
  <sheetViews>
    <sheetView topLeftCell="A102" workbookViewId="0">
      <selection activeCell="Q2" sqref="Q2:Q123"/>
    </sheetView>
  </sheetViews>
  <sheetFormatPr defaultRowHeight="14.4" x14ac:dyDescent="0.3"/>
  <cols>
    <col min="14" max="14" width="12.5546875" bestFit="1" customWidth="1"/>
    <col min="15" max="16" width="11.5546875" customWidth="1"/>
    <col min="17" max="17" width="8.88671875" style="3"/>
  </cols>
  <sheetData>
    <row r="1" spans="1:30" x14ac:dyDescent="0.3">
      <c r="A1" s="1" t="s">
        <v>0</v>
      </c>
      <c r="B1" s="1" t="s">
        <v>214</v>
      </c>
      <c r="C1" s="1" t="s">
        <v>215</v>
      </c>
      <c r="D1" t="s">
        <v>216</v>
      </c>
      <c r="E1" s="1" t="s">
        <v>319</v>
      </c>
      <c r="F1" s="1" t="s">
        <v>323</v>
      </c>
      <c r="G1" s="1" t="s">
        <v>326</v>
      </c>
      <c r="H1" s="1" t="s">
        <v>348</v>
      </c>
      <c r="I1" t="s">
        <v>352</v>
      </c>
      <c r="J1" t="s">
        <v>349</v>
      </c>
      <c r="K1" t="s">
        <v>350</v>
      </c>
      <c r="L1" t="s">
        <v>351</v>
      </c>
      <c r="M1" s="4" t="s">
        <v>353</v>
      </c>
      <c r="N1" s="4" t="s">
        <v>380</v>
      </c>
      <c r="O1" s="4" t="s">
        <v>380</v>
      </c>
      <c r="P1" s="4" t="s">
        <v>381</v>
      </c>
      <c r="Q1" t="s">
        <v>382</v>
      </c>
      <c r="R1" s="1" t="s">
        <v>336</v>
      </c>
      <c r="X1" t="s">
        <v>354</v>
      </c>
      <c r="AD1" t="s">
        <v>357</v>
      </c>
    </row>
    <row r="2" spans="1:30" x14ac:dyDescent="0.3">
      <c r="A2" s="1" t="s">
        <v>6</v>
      </c>
      <c r="B2" s="1" t="s">
        <v>6</v>
      </c>
      <c r="C2" s="1" t="s">
        <v>62</v>
      </c>
      <c r="D2" s="2">
        <v>13.555943937177391</v>
      </c>
      <c r="E2">
        <v>2</v>
      </c>
      <c r="F2" s="1" t="s">
        <v>295</v>
      </c>
      <c r="G2" s="1"/>
      <c r="H2">
        <v>0</v>
      </c>
      <c r="I2">
        <v>9.6</v>
      </c>
      <c r="J2">
        <f>E2+H2</f>
        <v>2</v>
      </c>
      <c r="K2">
        <v>61.2</v>
      </c>
      <c r="L2">
        <v>58.1</v>
      </c>
      <c r="M2" s="3">
        <f>ROUND(I2/3,0)</f>
        <v>3</v>
      </c>
      <c r="N2" s="9">
        <f t="shared" ref="N2:N33" si="0">IF(M2=0,40,MAX(95+10*LOG10(M2/$X$2),40))</f>
        <v>55.177287669604318</v>
      </c>
      <c r="O2" s="9">
        <f>N2+10</f>
        <v>65.177287669604311</v>
      </c>
      <c r="P2" s="9">
        <f>L2/O2</f>
        <v>0.89141481760516972</v>
      </c>
      <c r="Q2">
        <v>6</v>
      </c>
      <c r="R2">
        <v>0</v>
      </c>
      <c r="X2">
        <f>8*60*60</f>
        <v>28800</v>
      </c>
      <c r="AD2">
        <v>-20</v>
      </c>
    </row>
    <row r="3" spans="1:30" x14ac:dyDescent="0.3">
      <c r="A3" s="1" t="s">
        <v>12</v>
      </c>
      <c r="B3" s="1" t="s">
        <v>6</v>
      </c>
      <c r="C3" s="1" t="s">
        <v>155</v>
      </c>
      <c r="D3" s="2">
        <v>46.788942735990872</v>
      </c>
      <c r="E3">
        <v>6</v>
      </c>
      <c r="F3" s="1" t="s">
        <v>301</v>
      </c>
      <c r="G3" s="1" t="s">
        <v>281</v>
      </c>
      <c r="H3">
        <v>0</v>
      </c>
      <c r="I3">
        <v>51.9</v>
      </c>
      <c r="J3" s="1" t="s">
        <v>383</v>
      </c>
      <c r="K3">
        <v>72.2</v>
      </c>
      <c r="L3">
        <v>69</v>
      </c>
      <c r="M3" s="3">
        <f>ROUND(I3/3,0)</f>
        <v>17</v>
      </c>
      <c r="N3" s="9">
        <f t="shared" si="0"/>
        <v>62.71056433619043</v>
      </c>
      <c r="O3" s="9">
        <f t="shared" ref="O3:O66" si="1">N3+10</f>
        <v>72.71056433619043</v>
      </c>
      <c r="P3" s="9">
        <f>L3/O3</f>
        <v>0.94896801627018101</v>
      </c>
      <c r="Q3">
        <v>36</v>
      </c>
      <c r="R3">
        <v>0</v>
      </c>
      <c r="AD3">
        <v>-2</v>
      </c>
    </row>
    <row r="4" spans="1:30" x14ac:dyDescent="0.3">
      <c r="A4" s="1" t="s">
        <v>17</v>
      </c>
      <c r="B4" s="1" t="s">
        <v>6</v>
      </c>
      <c r="C4" s="1" t="s">
        <v>174</v>
      </c>
      <c r="D4" s="2">
        <v>16.474316860029141</v>
      </c>
      <c r="E4">
        <v>4</v>
      </c>
      <c r="F4" s="1" t="s">
        <v>305</v>
      </c>
      <c r="G4" s="1">
        <v>90</v>
      </c>
      <c r="H4">
        <v>8</v>
      </c>
      <c r="I4">
        <v>40.4</v>
      </c>
      <c r="J4" t="s">
        <v>384</v>
      </c>
      <c r="K4">
        <v>73.5</v>
      </c>
      <c r="L4">
        <v>70.5</v>
      </c>
      <c r="M4" s="3">
        <f>ROUND(I4/3,0)</f>
        <v>13</v>
      </c>
      <c r="N4" s="9">
        <f t="shared" si="0"/>
        <v>61.545508645476062</v>
      </c>
      <c r="O4" s="9">
        <f t="shared" si="1"/>
        <v>71.545508645476062</v>
      </c>
      <c r="P4" s="9">
        <f>L4/O4</f>
        <v>0.98538680253631583</v>
      </c>
      <c r="Q4">
        <v>26</v>
      </c>
      <c r="R4">
        <v>0</v>
      </c>
      <c r="AD4">
        <v>-2</v>
      </c>
    </row>
    <row r="5" spans="1:30" x14ac:dyDescent="0.3">
      <c r="A5" s="1" t="s">
        <v>22</v>
      </c>
      <c r="B5" s="1" t="s">
        <v>12</v>
      </c>
      <c r="C5" s="1" t="s">
        <v>174</v>
      </c>
      <c r="D5" s="2">
        <v>4.391580784857017</v>
      </c>
      <c r="E5">
        <v>1</v>
      </c>
      <c r="F5" s="1" t="s">
        <v>320</v>
      </c>
      <c r="G5" s="1"/>
      <c r="H5">
        <v>0</v>
      </c>
      <c r="I5">
        <v>5.5</v>
      </c>
      <c r="J5">
        <f t="shared" ref="J5:J17" si="2">E5+H5</f>
        <v>1</v>
      </c>
      <c r="K5">
        <v>72.099999999999994</v>
      </c>
      <c r="L5">
        <v>69.099999999999994</v>
      </c>
      <c r="M5" s="3">
        <f>ROUND(I5/3,0)</f>
        <v>2</v>
      </c>
      <c r="N5" s="9">
        <f t="shared" si="0"/>
        <v>53.416375079047505</v>
      </c>
      <c r="O5" s="9">
        <f t="shared" si="1"/>
        <v>63.416375079047505</v>
      </c>
      <c r="P5" s="9">
        <f>L5/O5</f>
        <v>1.0896239325232315</v>
      </c>
      <c r="Q5">
        <v>3</v>
      </c>
      <c r="R5">
        <v>0</v>
      </c>
      <c r="AD5">
        <v>-1</v>
      </c>
    </row>
    <row r="6" spans="1:30" x14ac:dyDescent="0.3">
      <c r="A6" s="1" t="s">
        <v>27</v>
      </c>
      <c r="B6" s="1" t="s">
        <v>17</v>
      </c>
      <c r="C6" s="1" t="s">
        <v>179</v>
      </c>
      <c r="D6" s="2">
        <v>54.090172208685452</v>
      </c>
      <c r="E6">
        <v>2</v>
      </c>
      <c r="F6" s="1" t="s">
        <v>320</v>
      </c>
      <c r="G6" s="1"/>
      <c r="H6">
        <v>3</v>
      </c>
      <c r="I6">
        <v>6.8</v>
      </c>
      <c r="J6">
        <f t="shared" si="2"/>
        <v>5</v>
      </c>
      <c r="K6">
        <v>57.8</v>
      </c>
      <c r="L6">
        <v>56.4</v>
      </c>
      <c r="M6" s="3">
        <f>ROUND(I6/3,0)</f>
        <v>2</v>
      </c>
      <c r="N6" s="9">
        <f t="shared" si="0"/>
        <v>53.416375079047505</v>
      </c>
      <c r="O6" s="9">
        <f t="shared" si="1"/>
        <v>63.416375079047505</v>
      </c>
      <c r="P6" s="9">
        <f>L6/O6</f>
        <v>0.88936019962822366</v>
      </c>
      <c r="Q6">
        <v>2</v>
      </c>
      <c r="R6">
        <v>0</v>
      </c>
      <c r="AD6">
        <v>3</v>
      </c>
    </row>
    <row r="7" spans="1:30" x14ac:dyDescent="0.3">
      <c r="A7" s="1" t="s">
        <v>33</v>
      </c>
      <c r="B7" s="1" t="s">
        <v>22</v>
      </c>
      <c r="C7" s="1" t="s">
        <v>72</v>
      </c>
      <c r="D7" s="2">
        <v>6.6600972009983836</v>
      </c>
      <c r="E7">
        <v>2</v>
      </c>
      <c r="F7" s="1" t="s">
        <v>320</v>
      </c>
      <c r="G7" s="1"/>
      <c r="H7">
        <v>11</v>
      </c>
      <c r="I7">
        <v>11.5</v>
      </c>
      <c r="J7">
        <f t="shared" si="2"/>
        <v>13</v>
      </c>
      <c r="K7">
        <v>66.099999999999994</v>
      </c>
      <c r="L7">
        <v>60</v>
      </c>
      <c r="M7" s="3">
        <f>ROUND(I7/3,0)</f>
        <v>4</v>
      </c>
      <c r="N7" s="9">
        <f t="shared" si="0"/>
        <v>56.426675035687317</v>
      </c>
      <c r="O7" s="9">
        <f t="shared" si="1"/>
        <v>66.42667503568731</v>
      </c>
      <c r="P7" s="9">
        <f>L7/O7</f>
        <v>0.90325159234246455</v>
      </c>
      <c r="Q7">
        <v>18</v>
      </c>
      <c r="R7">
        <v>0</v>
      </c>
      <c r="AD7">
        <v>12</v>
      </c>
    </row>
    <row r="8" spans="1:30" x14ac:dyDescent="0.3">
      <c r="A8" s="1" t="s">
        <v>37</v>
      </c>
      <c r="B8" s="1" t="s">
        <v>22</v>
      </c>
      <c r="C8" s="1" t="s">
        <v>217</v>
      </c>
      <c r="D8" s="2">
        <v>14</v>
      </c>
      <c r="E8">
        <v>2</v>
      </c>
      <c r="F8" s="1" t="s">
        <v>320</v>
      </c>
      <c r="G8" s="1"/>
      <c r="H8">
        <v>11</v>
      </c>
      <c r="I8">
        <v>5.9</v>
      </c>
      <c r="J8">
        <f t="shared" si="2"/>
        <v>13</v>
      </c>
      <c r="K8">
        <v>64.8</v>
      </c>
      <c r="L8">
        <v>61.2</v>
      </c>
      <c r="M8" s="3">
        <f>ROUND(I8/3,0)</f>
        <v>2</v>
      </c>
      <c r="N8" s="9">
        <f t="shared" si="0"/>
        <v>53.416375079047505</v>
      </c>
      <c r="O8" s="9">
        <f t="shared" si="1"/>
        <v>63.416375079047505</v>
      </c>
      <c r="P8" s="9">
        <f>L8/O8</f>
        <v>0.96505042938381724</v>
      </c>
      <c r="Q8">
        <v>4</v>
      </c>
      <c r="R8">
        <v>0</v>
      </c>
      <c r="AD8">
        <v>6</v>
      </c>
    </row>
    <row r="9" spans="1:30" x14ac:dyDescent="0.3">
      <c r="A9" s="1" t="s">
        <v>41</v>
      </c>
      <c r="B9" s="1" t="s">
        <v>62</v>
      </c>
      <c r="C9" s="1" t="s">
        <v>50</v>
      </c>
      <c r="D9" s="2">
        <v>20.023180739473109</v>
      </c>
      <c r="E9">
        <v>0</v>
      </c>
      <c r="F9" s="1" t="s">
        <v>320</v>
      </c>
      <c r="G9" s="1" t="s">
        <v>55</v>
      </c>
      <c r="H9">
        <v>14</v>
      </c>
      <c r="I9">
        <v>0.5</v>
      </c>
      <c r="J9">
        <f t="shared" si="2"/>
        <v>14</v>
      </c>
      <c r="K9">
        <v>57.2</v>
      </c>
      <c r="L9">
        <v>55</v>
      </c>
      <c r="M9" s="3">
        <f>ROUND(I9/3,0)</f>
        <v>0</v>
      </c>
      <c r="N9" s="9">
        <f t="shared" si="0"/>
        <v>40</v>
      </c>
      <c r="O9" s="9">
        <f t="shared" si="1"/>
        <v>50</v>
      </c>
      <c r="P9" s="9">
        <f>L9/O9</f>
        <v>1.1000000000000001</v>
      </c>
      <c r="Q9">
        <v>0</v>
      </c>
      <c r="R9">
        <v>0</v>
      </c>
      <c r="AD9">
        <v>2</v>
      </c>
    </row>
    <row r="10" spans="1:30" x14ac:dyDescent="0.3">
      <c r="A10" s="1" t="s">
        <v>45</v>
      </c>
      <c r="B10" s="1" t="s">
        <v>62</v>
      </c>
      <c r="C10" s="1" t="s">
        <v>67</v>
      </c>
      <c r="D10" s="2">
        <v>19.280533635433219</v>
      </c>
      <c r="E10">
        <v>2</v>
      </c>
      <c r="F10" s="1" t="s">
        <v>295</v>
      </c>
      <c r="G10" s="1"/>
      <c r="H10">
        <v>6</v>
      </c>
      <c r="I10">
        <v>9.6</v>
      </c>
      <c r="J10">
        <f t="shared" si="2"/>
        <v>8</v>
      </c>
      <c r="K10">
        <v>66.2</v>
      </c>
      <c r="L10">
        <v>61.2</v>
      </c>
      <c r="M10" s="3">
        <f>ROUND(I10/3,0)</f>
        <v>3</v>
      </c>
      <c r="N10" s="9">
        <f t="shared" si="0"/>
        <v>55.177287669604318</v>
      </c>
      <c r="O10" s="9">
        <f t="shared" si="1"/>
        <v>65.177287669604311</v>
      </c>
      <c r="P10" s="9">
        <f>L10/O10</f>
        <v>0.93897739823470538</v>
      </c>
      <c r="Q10">
        <v>10</v>
      </c>
      <c r="R10">
        <v>0</v>
      </c>
      <c r="AD10">
        <v>2</v>
      </c>
    </row>
    <row r="11" spans="1:30" x14ac:dyDescent="0.3">
      <c r="A11" s="1" t="s">
        <v>50</v>
      </c>
      <c r="B11" s="1" t="s">
        <v>50</v>
      </c>
      <c r="C11" s="1" t="s">
        <v>56</v>
      </c>
      <c r="D11" s="2">
        <v>14.34829267362945</v>
      </c>
      <c r="E11">
        <v>0</v>
      </c>
      <c r="F11" s="1" t="s">
        <v>320</v>
      </c>
      <c r="G11" s="1"/>
      <c r="H11">
        <v>14</v>
      </c>
      <c r="I11">
        <v>0</v>
      </c>
      <c r="J11">
        <f t="shared" si="2"/>
        <v>14</v>
      </c>
      <c r="K11">
        <v>65.7</v>
      </c>
      <c r="L11">
        <v>61</v>
      </c>
      <c r="M11" s="3">
        <f>ROUND(I11/3,0)</f>
        <v>0</v>
      </c>
      <c r="N11" s="9">
        <f t="shared" si="0"/>
        <v>40</v>
      </c>
      <c r="O11" s="9">
        <f t="shared" si="1"/>
        <v>50</v>
      </c>
      <c r="P11" s="9">
        <f>L11/O11</f>
        <v>1.22</v>
      </c>
      <c r="Q11">
        <v>0</v>
      </c>
      <c r="R11">
        <v>0</v>
      </c>
      <c r="AD11">
        <v>0</v>
      </c>
    </row>
    <row r="12" spans="1:30" x14ac:dyDescent="0.3">
      <c r="A12" s="1" t="s">
        <v>56</v>
      </c>
      <c r="B12" s="1" t="s">
        <v>50</v>
      </c>
      <c r="C12" s="1" t="s">
        <v>67</v>
      </c>
      <c r="D12" s="2">
        <v>27.243028574311449</v>
      </c>
      <c r="E12">
        <v>0</v>
      </c>
      <c r="F12" s="1" t="s">
        <v>320</v>
      </c>
      <c r="G12" s="1"/>
      <c r="H12">
        <v>8</v>
      </c>
      <c r="I12">
        <v>0</v>
      </c>
      <c r="J12">
        <f t="shared" si="2"/>
        <v>8</v>
      </c>
      <c r="K12">
        <v>50</v>
      </c>
      <c r="L12">
        <v>44</v>
      </c>
      <c r="M12" s="3">
        <f>ROUND(I12/3,0)</f>
        <v>0</v>
      </c>
      <c r="N12" s="9">
        <f t="shared" si="0"/>
        <v>40</v>
      </c>
      <c r="O12" s="9">
        <f t="shared" si="1"/>
        <v>50</v>
      </c>
      <c r="P12" s="9">
        <f>L12/O12</f>
        <v>0.88</v>
      </c>
      <c r="Q12">
        <v>0</v>
      </c>
      <c r="R12">
        <v>0</v>
      </c>
      <c r="T12" t="s">
        <v>355</v>
      </c>
      <c r="AD12">
        <v>0</v>
      </c>
    </row>
    <row r="13" spans="1:30" x14ac:dyDescent="0.3">
      <c r="A13" s="1" t="s">
        <v>62</v>
      </c>
      <c r="B13" s="1" t="s">
        <v>67</v>
      </c>
      <c r="C13" s="1" t="s">
        <v>81</v>
      </c>
      <c r="D13" s="2">
        <v>14.80891306554398</v>
      </c>
      <c r="E13">
        <v>2</v>
      </c>
      <c r="F13" s="1" t="s">
        <v>295</v>
      </c>
      <c r="G13" s="1"/>
      <c r="H13">
        <v>14</v>
      </c>
      <c r="I13">
        <v>9.1999999999999993</v>
      </c>
      <c r="J13">
        <f t="shared" si="2"/>
        <v>16</v>
      </c>
      <c r="K13">
        <v>67.2</v>
      </c>
      <c r="L13">
        <v>63.6</v>
      </c>
      <c r="M13" s="3">
        <f>ROUND(I13/3,0)</f>
        <v>3</v>
      </c>
      <c r="N13" s="9">
        <f t="shared" si="0"/>
        <v>55.177287669604318</v>
      </c>
      <c r="O13" s="9">
        <f t="shared" si="1"/>
        <v>65.177287669604311</v>
      </c>
      <c r="P13" s="9">
        <f>L13/O13</f>
        <v>0.97580004130273301</v>
      </c>
      <c r="Q13">
        <v>7</v>
      </c>
      <c r="R13">
        <v>0</v>
      </c>
      <c r="AD13">
        <v>0</v>
      </c>
    </row>
    <row r="14" spans="1:30" x14ac:dyDescent="0.3">
      <c r="A14" s="1" t="s">
        <v>67</v>
      </c>
      <c r="B14" s="1" t="s">
        <v>56</v>
      </c>
      <c r="C14" s="1" t="s">
        <v>72</v>
      </c>
      <c r="D14" s="2">
        <v>35.65957209659318</v>
      </c>
      <c r="E14">
        <v>0</v>
      </c>
      <c r="F14" s="1" t="s">
        <v>320</v>
      </c>
      <c r="G14" s="1"/>
      <c r="H14">
        <v>10</v>
      </c>
      <c r="I14">
        <v>0</v>
      </c>
      <c r="J14">
        <f t="shared" si="2"/>
        <v>10</v>
      </c>
      <c r="K14">
        <v>68.7</v>
      </c>
      <c r="L14">
        <v>68</v>
      </c>
      <c r="M14" s="3">
        <f>ROUND(I14/3,0)</f>
        <v>0</v>
      </c>
      <c r="N14" s="9">
        <f t="shared" si="0"/>
        <v>40</v>
      </c>
      <c r="O14" s="9">
        <f t="shared" si="1"/>
        <v>50</v>
      </c>
      <c r="P14" s="9">
        <f>L14/O14</f>
        <v>1.36</v>
      </c>
      <c r="Q14">
        <v>0</v>
      </c>
      <c r="R14">
        <v>0</v>
      </c>
      <c r="AD14">
        <v>0</v>
      </c>
    </row>
    <row r="15" spans="1:30" x14ac:dyDescent="0.3">
      <c r="A15" s="1" t="s">
        <v>72</v>
      </c>
      <c r="B15" s="1" t="s">
        <v>56</v>
      </c>
      <c r="C15" s="1" t="s">
        <v>81</v>
      </c>
      <c r="D15" s="2">
        <v>29.57967574203899</v>
      </c>
      <c r="E15">
        <v>0</v>
      </c>
      <c r="F15" s="1" t="s">
        <v>320</v>
      </c>
      <c r="G15" s="1"/>
      <c r="H15">
        <v>4</v>
      </c>
      <c r="I15">
        <v>0</v>
      </c>
      <c r="J15">
        <f t="shared" si="2"/>
        <v>4</v>
      </c>
      <c r="K15">
        <v>55.6</v>
      </c>
      <c r="L15">
        <v>50.6</v>
      </c>
      <c r="M15" s="3">
        <f>ROUND(I15/3,0)</f>
        <v>0</v>
      </c>
      <c r="N15" s="9">
        <f t="shared" si="0"/>
        <v>40</v>
      </c>
      <c r="O15" s="9">
        <f t="shared" si="1"/>
        <v>50</v>
      </c>
      <c r="P15" s="9">
        <f>L15/O15</f>
        <v>1.012</v>
      </c>
      <c r="Q15">
        <v>0</v>
      </c>
      <c r="R15">
        <v>0</v>
      </c>
      <c r="AD15">
        <v>0</v>
      </c>
    </row>
    <row r="16" spans="1:30" x14ac:dyDescent="0.3">
      <c r="A16" s="1" t="s">
        <v>77</v>
      </c>
      <c r="B16" s="1" t="s">
        <v>72</v>
      </c>
      <c r="C16" s="1" t="s">
        <v>217</v>
      </c>
      <c r="D16" s="2">
        <v>9</v>
      </c>
      <c r="E16">
        <v>2</v>
      </c>
      <c r="F16">
        <v>0</v>
      </c>
      <c r="H16">
        <v>11</v>
      </c>
      <c r="I16">
        <v>11.5</v>
      </c>
      <c r="J16">
        <f t="shared" si="2"/>
        <v>13</v>
      </c>
      <c r="K16">
        <v>64.8</v>
      </c>
      <c r="L16">
        <v>61.2</v>
      </c>
      <c r="M16" s="3">
        <f>ROUND(I16/3,0)</f>
        <v>4</v>
      </c>
      <c r="N16" s="9">
        <f t="shared" si="0"/>
        <v>56.426675035687317</v>
      </c>
      <c r="O16" s="9">
        <f t="shared" si="1"/>
        <v>66.42667503568731</v>
      </c>
      <c r="P16" s="9">
        <f>L16/O16</f>
        <v>0.92131662418931382</v>
      </c>
      <c r="Q16">
        <v>9</v>
      </c>
      <c r="R16">
        <v>0</v>
      </c>
      <c r="AD16">
        <v>0</v>
      </c>
    </row>
    <row r="17" spans="1:30" x14ac:dyDescent="0.3">
      <c r="A17" s="1" t="s">
        <v>81</v>
      </c>
      <c r="B17" s="1" t="s">
        <v>72</v>
      </c>
      <c r="C17" s="1" t="s">
        <v>77</v>
      </c>
      <c r="D17" s="2">
        <v>17.687467340063542</v>
      </c>
      <c r="E17">
        <v>2</v>
      </c>
      <c r="F17" s="1" t="s">
        <v>320</v>
      </c>
      <c r="G17" s="1"/>
      <c r="H17">
        <v>17</v>
      </c>
      <c r="I17">
        <v>11.5</v>
      </c>
      <c r="J17">
        <f t="shared" si="2"/>
        <v>19</v>
      </c>
      <c r="K17">
        <v>69</v>
      </c>
      <c r="L17">
        <v>63</v>
      </c>
      <c r="M17" s="3">
        <f>ROUND(I16/3,0)</f>
        <v>4</v>
      </c>
      <c r="N17" s="9">
        <f t="shared" si="0"/>
        <v>56.426675035687317</v>
      </c>
      <c r="O17" s="9">
        <f t="shared" si="1"/>
        <v>66.42667503568731</v>
      </c>
      <c r="P17" s="9">
        <f>L17/O17</f>
        <v>0.94841417195958777</v>
      </c>
      <c r="Q17">
        <v>17</v>
      </c>
      <c r="R17">
        <v>0</v>
      </c>
      <c r="AD17">
        <v>0</v>
      </c>
    </row>
    <row r="18" spans="1:30" x14ac:dyDescent="0.3">
      <c r="A18" s="1" t="s">
        <v>86</v>
      </c>
      <c r="B18" s="1" t="s">
        <v>217</v>
      </c>
      <c r="C18" s="1" t="s">
        <v>91</v>
      </c>
      <c r="D18" s="2">
        <v>32</v>
      </c>
      <c r="E18">
        <v>2</v>
      </c>
      <c r="F18">
        <v>0</v>
      </c>
      <c r="G18">
        <v>36</v>
      </c>
      <c r="H18">
        <v>11</v>
      </c>
      <c r="I18">
        <v>11</v>
      </c>
      <c r="J18">
        <f>(G18/18)+H18</f>
        <v>13</v>
      </c>
      <c r="K18">
        <v>64.8</v>
      </c>
      <c r="L18">
        <v>61.2</v>
      </c>
      <c r="M18" s="3">
        <f>ROUND(I18/3,0)</f>
        <v>4</v>
      </c>
      <c r="N18" s="9">
        <f t="shared" si="0"/>
        <v>56.426675035687317</v>
      </c>
      <c r="O18" s="9">
        <f t="shared" si="1"/>
        <v>66.42667503568731</v>
      </c>
      <c r="P18" s="9">
        <f>L18/O18</f>
        <v>0.92131662418931382</v>
      </c>
      <c r="Q18">
        <v>9</v>
      </c>
      <c r="R18">
        <v>0</v>
      </c>
      <c r="AD18">
        <v>0</v>
      </c>
    </row>
    <row r="19" spans="1:30" x14ac:dyDescent="0.3">
      <c r="A19" s="1" t="s">
        <v>91</v>
      </c>
      <c r="B19" s="1" t="s">
        <v>81</v>
      </c>
      <c r="C19" s="1" t="s">
        <v>77</v>
      </c>
      <c r="D19" s="2">
        <v>11.419910378654251</v>
      </c>
      <c r="E19">
        <v>2</v>
      </c>
      <c r="F19" s="1" t="s">
        <v>295</v>
      </c>
      <c r="G19" s="1"/>
      <c r="H19">
        <v>2</v>
      </c>
      <c r="I19">
        <v>4</v>
      </c>
      <c r="J19">
        <f>E19+H19</f>
        <v>4</v>
      </c>
      <c r="K19">
        <v>55</v>
      </c>
      <c r="L19">
        <v>50.8</v>
      </c>
      <c r="M19" s="3">
        <f>ROUND(I17/3,0)</f>
        <v>4</v>
      </c>
      <c r="N19" s="9">
        <f t="shared" si="0"/>
        <v>56.426675035687317</v>
      </c>
      <c r="O19" s="9">
        <f t="shared" si="1"/>
        <v>66.42667503568731</v>
      </c>
      <c r="P19" s="9">
        <f>L19/O19</f>
        <v>0.76475301484995328</v>
      </c>
      <c r="Q19">
        <v>14</v>
      </c>
      <c r="R19">
        <v>0</v>
      </c>
      <c r="AD19">
        <v>0</v>
      </c>
    </row>
    <row r="20" spans="1:30" x14ac:dyDescent="0.3">
      <c r="A20" s="1" t="s">
        <v>96</v>
      </c>
      <c r="B20" s="1" t="s">
        <v>77</v>
      </c>
      <c r="C20" s="1" t="s">
        <v>86</v>
      </c>
      <c r="D20" s="2">
        <v>11.9039000374342</v>
      </c>
      <c r="E20">
        <v>1</v>
      </c>
      <c r="F20" s="1" t="s">
        <v>320</v>
      </c>
      <c r="G20" s="1"/>
      <c r="H20">
        <v>18</v>
      </c>
      <c r="I20">
        <v>0.5</v>
      </c>
      <c r="J20">
        <f>E20+H20</f>
        <v>19</v>
      </c>
      <c r="K20">
        <v>54.5</v>
      </c>
      <c r="L20">
        <v>49.5</v>
      </c>
      <c r="M20" s="3">
        <f>ROUND(I18/3,0)</f>
        <v>4</v>
      </c>
      <c r="N20" s="9">
        <f t="shared" si="0"/>
        <v>56.426675035687317</v>
      </c>
      <c r="O20" s="9">
        <f t="shared" si="1"/>
        <v>66.42667503568731</v>
      </c>
      <c r="P20" s="9">
        <f>L20/O20</f>
        <v>0.74518256368253322</v>
      </c>
      <c r="Q20">
        <v>18</v>
      </c>
      <c r="R20">
        <v>0</v>
      </c>
      <c r="AD20">
        <v>0</v>
      </c>
    </row>
    <row r="21" spans="1:30" x14ac:dyDescent="0.3">
      <c r="A21" s="1" t="s">
        <v>101</v>
      </c>
      <c r="B21" s="1" t="s">
        <v>86</v>
      </c>
      <c r="C21" s="1" t="s">
        <v>91</v>
      </c>
      <c r="D21" s="2">
        <v>19.441036896411159</v>
      </c>
      <c r="E21">
        <v>1</v>
      </c>
      <c r="F21" s="1" t="s">
        <v>320</v>
      </c>
      <c r="G21" s="1"/>
      <c r="H21">
        <v>13</v>
      </c>
      <c r="I21">
        <v>4</v>
      </c>
      <c r="J21">
        <f>E21+H21</f>
        <v>14</v>
      </c>
      <c r="K21">
        <v>51.5</v>
      </c>
      <c r="L21">
        <v>48.2</v>
      </c>
      <c r="M21" s="3">
        <f>ROUND(I19/3,0)</f>
        <v>1</v>
      </c>
      <c r="N21" s="9">
        <f t="shared" si="0"/>
        <v>50.406075122407692</v>
      </c>
      <c r="O21" s="9">
        <f t="shared" si="1"/>
        <v>60.406075122407692</v>
      </c>
      <c r="P21" s="9">
        <f>L21/O21</f>
        <v>0.79793298773884691</v>
      </c>
      <c r="Q21">
        <v>2</v>
      </c>
      <c r="R21">
        <v>0</v>
      </c>
      <c r="AD21">
        <v>0</v>
      </c>
    </row>
    <row r="22" spans="1:30" x14ac:dyDescent="0.3">
      <c r="A22" s="1" t="s">
        <v>106</v>
      </c>
      <c r="B22" s="1" t="s">
        <v>86</v>
      </c>
      <c r="C22" s="1" t="s">
        <v>135</v>
      </c>
      <c r="D22" s="2">
        <v>39.500777900897617</v>
      </c>
      <c r="E22">
        <v>2</v>
      </c>
      <c r="F22" s="1" t="s">
        <v>320</v>
      </c>
      <c r="G22" s="1"/>
      <c r="H22">
        <v>7</v>
      </c>
      <c r="I22">
        <v>1</v>
      </c>
      <c r="J22">
        <f>E22+H22</f>
        <v>9</v>
      </c>
      <c r="K22">
        <v>57.8</v>
      </c>
      <c r="L22">
        <v>50</v>
      </c>
      <c r="M22" s="3">
        <f>ROUND(I20/3,0)</f>
        <v>0</v>
      </c>
      <c r="N22" s="9">
        <f t="shared" si="0"/>
        <v>40</v>
      </c>
      <c r="O22" s="9">
        <f t="shared" si="1"/>
        <v>50</v>
      </c>
      <c r="P22" s="9">
        <f>L22/O22</f>
        <v>1</v>
      </c>
      <c r="Q22">
        <v>0</v>
      </c>
      <c r="R22">
        <v>0</v>
      </c>
      <c r="AD22">
        <v>0</v>
      </c>
    </row>
    <row r="23" spans="1:30" x14ac:dyDescent="0.3">
      <c r="A23" s="1" t="s">
        <v>111</v>
      </c>
      <c r="B23" s="1" t="s">
        <v>86</v>
      </c>
      <c r="C23" s="1" t="s">
        <v>155</v>
      </c>
      <c r="D23" s="2">
        <v>28.061234215104989</v>
      </c>
      <c r="E23">
        <v>2</v>
      </c>
      <c r="F23" s="1" t="s">
        <v>320</v>
      </c>
      <c r="G23" s="1" t="s">
        <v>91</v>
      </c>
      <c r="H23">
        <v>10</v>
      </c>
      <c r="I23">
        <v>5.9</v>
      </c>
      <c r="J23" s="1">
        <f>(G23/18)+H23</f>
        <v>11</v>
      </c>
      <c r="K23">
        <v>46.4</v>
      </c>
      <c r="L23">
        <v>43.6</v>
      </c>
      <c r="M23" s="3">
        <f>ROUND(I21/3,0)</f>
        <v>1</v>
      </c>
      <c r="N23" s="9">
        <f t="shared" si="0"/>
        <v>50.406075122407692</v>
      </c>
      <c r="O23" s="9">
        <f t="shared" si="1"/>
        <v>60.406075122407692</v>
      </c>
      <c r="P23" s="9">
        <f>L23/O23</f>
        <v>0.72178170675132214</v>
      </c>
      <c r="Q23">
        <v>2</v>
      </c>
      <c r="R23">
        <v>0</v>
      </c>
      <c r="AD23">
        <v>0</v>
      </c>
    </row>
    <row r="24" spans="1:30" x14ac:dyDescent="0.3">
      <c r="A24" s="1" t="s">
        <v>116</v>
      </c>
      <c r="B24" s="1" t="s">
        <v>91</v>
      </c>
      <c r="C24" s="1" t="s">
        <v>96</v>
      </c>
      <c r="D24" s="2">
        <v>73</v>
      </c>
      <c r="E24">
        <v>0</v>
      </c>
      <c r="F24" s="1" t="s">
        <v>320</v>
      </c>
      <c r="G24" s="1"/>
      <c r="H24">
        <v>6</v>
      </c>
      <c r="I24">
        <v>1.6</v>
      </c>
      <c r="J24">
        <f>E24+H24</f>
        <v>6</v>
      </c>
      <c r="K24">
        <v>63.8</v>
      </c>
      <c r="L24">
        <v>58.7</v>
      </c>
      <c r="M24" s="3">
        <f>ROUND(I22/3,0)</f>
        <v>0</v>
      </c>
      <c r="N24" s="9">
        <f t="shared" si="0"/>
        <v>40</v>
      </c>
      <c r="O24" s="9">
        <f t="shared" si="1"/>
        <v>50</v>
      </c>
      <c r="P24" s="9">
        <f>L24/O24</f>
        <v>1.1740000000000002</v>
      </c>
      <c r="Q24">
        <v>0</v>
      </c>
      <c r="R24">
        <v>0</v>
      </c>
      <c r="AD24">
        <v>0</v>
      </c>
    </row>
    <row r="25" spans="1:30" x14ac:dyDescent="0.3">
      <c r="A25" s="1" t="s">
        <v>121</v>
      </c>
      <c r="B25" s="1" t="s">
        <v>91</v>
      </c>
      <c r="C25" s="1" t="s">
        <v>131</v>
      </c>
      <c r="D25" s="2">
        <v>15.073675496176911</v>
      </c>
      <c r="E25">
        <v>2</v>
      </c>
      <c r="F25" s="1" t="s">
        <v>320</v>
      </c>
      <c r="G25" s="1">
        <v>36</v>
      </c>
      <c r="H25">
        <v>2</v>
      </c>
      <c r="I25">
        <v>0</v>
      </c>
      <c r="J25" s="1">
        <f>(G25/18)+H25</f>
        <v>4</v>
      </c>
      <c r="K25">
        <v>63.9</v>
      </c>
      <c r="L25">
        <v>60.5</v>
      </c>
      <c r="M25" s="3">
        <f>ROUND(I23/3,0)</f>
        <v>2</v>
      </c>
      <c r="N25" s="9">
        <f t="shared" si="0"/>
        <v>53.416375079047505</v>
      </c>
      <c r="O25" s="9">
        <f t="shared" si="1"/>
        <v>63.416375079047505</v>
      </c>
      <c r="P25" s="9">
        <f>L25/O25</f>
        <v>0.95401227087779317</v>
      </c>
      <c r="Q25">
        <v>4</v>
      </c>
      <c r="R25">
        <v>0</v>
      </c>
      <c r="AD25">
        <v>0</v>
      </c>
    </row>
    <row r="26" spans="1:30" x14ac:dyDescent="0.3">
      <c r="A26" s="1" t="s">
        <v>126</v>
      </c>
      <c r="B26" s="1" t="s">
        <v>96</v>
      </c>
      <c r="C26" s="1" t="s">
        <v>101</v>
      </c>
      <c r="D26" s="2">
        <v>27.94847030040475</v>
      </c>
      <c r="E26">
        <v>0</v>
      </c>
      <c r="F26" s="1" t="s">
        <v>320</v>
      </c>
      <c r="G26" s="1">
        <v>0</v>
      </c>
      <c r="H26">
        <v>2</v>
      </c>
      <c r="I26">
        <v>9.5</v>
      </c>
      <c r="J26">
        <f>E26+H26</f>
        <v>2</v>
      </c>
      <c r="K26">
        <v>53</v>
      </c>
      <c r="L26">
        <v>48.9</v>
      </c>
      <c r="M26" s="3">
        <f>ROUND(I24/3,0)</f>
        <v>1</v>
      </c>
      <c r="N26" s="9">
        <f t="shared" si="0"/>
        <v>50.406075122407692</v>
      </c>
      <c r="O26" s="9">
        <f t="shared" si="1"/>
        <v>60.406075122407692</v>
      </c>
      <c r="P26" s="9">
        <f>L26/O26</f>
        <v>0.80952122614999189</v>
      </c>
      <c r="Q26">
        <v>3</v>
      </c>
      <c r="R26">
        <v>0</v>
      </c>
      <c r="AD26">
        <v>0</v>
      </c>
    </row>
    <row r="27" spans="1:30" x14ac:dyDescent="0.3">
      <c r="A27" s="1" t="s">
        <v>131</v>
      </c>
      <c r="B27" s="1" t="s">
        <v>96</v>
      </c>
      <c r="C27" s="1" t="s">
        <v>106</v>
      </c>
      <c r="D27" s="2">
        <v>37.639064941173807</v>
      </c>
      <c r="E27">
        <v>0</v>
      </c>
      <c r="F27" s="1" t="s">
        <v>320</v>
      </c>
      <c r="G27" s="1"/>
      <c r="H27">
        <v>3</v>
      </c>
      <c r="I27">
        <v>0</v>
      </c>
      <c r="J27">
        <f>E27+H27</f>
        <v>3</v>
      </c>
      <c r="K27">
        <v>55</v>
      </c>
      <c r="L27">
        <v>53.1</v>
      </c>
      <c r="M27" s="3">
        <f>ROUND(I25/3,0)</f>
        <v>0</v>
      </c>
      <c r="N27" s="9">
        <f t="shared" si="0"/>
        <v>40</v>
      </c>
      <c r="O27" s="9">
        <f t="shared" si="1"/>
        <v>50</v>
      </c>
      <c r="P27" s="9">
        <f>L27/O27</f>
        <v>1.0620000000000001</v>
      </c>
      <c r="Q27">
        <v>0</v>
      </c>
      <c r="R27">
        <v>0</v>
      </c>
      <c r="AD27">
        <v>0</v>
      </c>
    </row>
    <row r="28" spans="1:30" x14ac:dyDescent="0.3">
      <c r="A28" s="1" t="s">
        <v>135</v>
      </c>
      <c r="B28" s="1" t="s">
        <v>131</v>
      </c>
      <c r="C28" s="1" t="s">
        <v>126</v>
      </c>
      <c r="D28" s="2">
        <v>26.206057207203251</v>
      </c>
      <c r="E28">
        <v>2</v>
      </c>
      <c r="F28" s="1" t="s">
        <v>320</v>
      </c>
      <c r="G28" s="1">
        <v>36</v>
      </c>
      <c r="H28">
        <v>5</v>
      </c>
      <c r="I28">
        <v>0</v>
      </c>
      <c r="J28" s="1">
        <f>(G28/18)+H28</f>
        <v>7</v>
      </c>
      <c r="K28">
        <v>64.599999999999994</v>
      </c>
      <c r="L28">
        <v>60</v>
      </c>
      <c r="M28" s="3">
        <f>ROUND(I26/3,0)</f>
        <v>3</v>
      </c>
      <c r="N28" s="9">
        <f t="shared" si="0"/>
        <v>55.177287669604318</v>
      </c>
      <c r="O28" s="9">
        <f t="shared" si="1"/>
        <v>65.177287669604311</v>
      </c>
      <c r="P28" s="9">
        <f>L28/O28</f>
        <v>0.92056607670069157</v>
      </c>
      <c r="Q28">
        <v>9</v>
      </c>
      <c r="R28">
        <v>0</v>
      </c>
      <c r="AD28">
        <v>0</v>
      </c>
    </row>
    <row r="29" spans="1:30" x14ac:dyDescent="0.3">
      <c r="A29" s="1" t="s">
        <v>140</v>
      </c>
      <c r="B29" s="1" t="s">
        <v>131</v>
      </c>
      <c r="C29" s="1" t="s">
        <v>135</v>
      </c>
      <c r="D29" s="2">
        <v>16.080088001591839</v>
      </c>
      <c r="E29">
        <v>0</v>
      </c>
      <c r="F29" s="1" t="s">
        <v>320</v>
      </c>
      <c r="G29" s="1"/>
      <c r="H29">
        <v>2</v>
      </c>
      <c r="I29">
        <v>9.5</v>
      </c>
      <c r="J29">
        <f>E29+H29</f>
        <v>2</v>
      </c>
      <c r="K29">
        <v>54.7</v>
      </c>
      <c r="L29">
        <v>48.3</v>
      </c>
      <c r="M29" s="3">
        <f>ROUND(I27/3,0)</f>
        <v>0</v>
      </c>
      <c r="N29" s="9">
        <f t="shared" si="0"/>
        <v>40</v>
      </c>
      <c r="O29" s="9">
        <f t="shared" si="1"/>
        <v>50</v>
      </c>
      <c r="P29" s="9">
        <f>L29/O29</f>
        <v>0.96599999999999997</v>
      </c>
      <c r="Q29">
        <v>0</v>
      </c>
      <c r="R29">
        <v>0</v>
      </c>
      <c r="AD29">
        <v>0</v>
      </c>
    </row>
    <row r="30" spans="1:30" x14ac:dyDescent="0.3">
      <c r="A30" s="1" t="s">
        <v>145</v>
      </c>
      <c r="B30" s="1" t="s">
        <v>135</v>
      </c>
      <c r="C30" s="1" t="s">
        <v>145</v>
      </c>
      <c r="D30" s="2">
        <v>16.043150600481741</v>
      </c>
      <c r="E30">
        <v>0</v>
      </c>
      <c r="F30" s="1" t="s">
        <v>320</v>
      </c>
      <c r="G30" s="1"/>
      <c r="H30">
        <v>9</v>
      </c>
      <c r="I30">
        <v>0</v>
      </c>
      <c r="J30">
        <f>E30+H30</f>
        <v>9</v>
      </c>
      <c r="K30">
        <v>65.8</v>
      </c>
      <c r="L30">
        <v>61.1</v>
      </c>
      <c r="M30" s="3">
        <f>ROUND(I28/3,0)</f>
        <v>0</v>
      </c>
      <c r="N30" s="9">
        <f t="shared" si="0"/>
        <v>40</v>
      </c>
      <c r="O30" s="9">
        <f t="shared" si="1"/>
        <v>50</v>
      </c>
      <c r="P30" s="9">
        <f>L30/O30</f>
        <v>1.222</v>
      </c>
      <c r="Q30">
        <v>0</v>
      </c>
      <c r="R30">
        <v>0</v>
      </c>
      <c r="AD30">
        <v>0</v>
      </c>
    </row>
    <row r="31" spans="1:30" x14ac:dyDescent="0.3">
      <c r="A31" s="1" t="s">
        <v>150</v>
      </c>
      <c r="B31" s="1" t="s">
        <v>126</v>
      </c>
      <c r="C31" s="1" t="s">
        <v>101</v>
      </c>
      <c r="D31" s="2">
        <v>17</v>
      </c>
      <c r="E31">
        <v>2</v>
      </c>
      <c r="F31" s="1" t="s">
        <v>320</v>
      </c>
      <c r="G31" s="1">
        <v>36</v>
      </c>
      <c r="H31">
        <v>7</v>
      </c>
      <c r="I31">
        <v>7.4</v>
      </c>
      <c r="J31" s="1">
        <f>(G31/18)+H31</f>
        <v>9</v>
      </c>
      <c r="K31">
        <v>58.6</v>
      </c>
      <c r="L31">
        <v>52.2</v>
      </c>
      <c r="M31" s="3">
        <f>ROUND(I29/3,0)</f>
        <v>3</v>
      </c>
      <c r="N31" s="9">
        <f t="shared" si="0"/>
        <v>55.177287669604318</v>
      </c>
      <c r="O31" s="9">
        <f t="shared" si="1"/>
        <v>65.177287669604311</v>
      </c>
      <c r="P31" s="9">
        <f>L31/O31</f>
        <v>0.80089248672960167</v>
      </c>
      <c r="Q31">
        <v>18</v>
      </c>
      <c r="R31">
        <v>0</v>
      </c>
      <c r="AD31">
        <v>0</v>
      </c>
    </row>
    <row r="32" spans="1:30" x14ac:dyDescent="0.3">
      <c r="A32" s="1" t="s">
        <v>155</v>
      </c>
      <c r="B32" s="1" t="s">
        <v>126</v>
      </c>
      <c r="C32" s="1" t="s">
        <v>121</v>
      </c>
      <c r="D32" s="2">
        <v>23</v>
      </c>
      <c r="E32">
        <v>0</v>
      </c>
      <c r="F32" s="1" t="s">
        <v>320</v>
      </c>
      <c r="G32" s="1"/>
      <c r="H32">
        <v>2</v>
      </c>
      <c r="I32">
        <v>0.4</v>
      </c>
      <c r="J32">
        <f>E32+H32</f>
        <v>2</v>
      </c>
      <c r="K32">
        <v>54.7</v>
      </c>
      <c r="L32">
        <v>43.7</v>
      </c>
      <c r="M32" s="3">
        <f>ROUND(I30/3,0)</f>
        <v>0</v>
      </c>
      <c r="N32" s="9">
        <f t="shared" si="0"/>
        <v>40</v>
      </c>
      <c r="O32" s="9">
        <f t="shared" si="1"/>
        <v>50</v>
      </c>
      <c r="P32" s="9">
        <f>L32/O32</f>
        <v>0.87400000000000011</v>
      </c>
      <c r="Q32">
        <v>1</v>
      </c>
      <c r="R32">
        <v>0</v>
      </c>
      <c r="AD32">
        <v>0</v>
      </c>
    </row>
    <row r="33" spans="1:30" x14ac:dyDescent="0.3">
      <c r="A33" s="1" t="s">
        <v>159</v>
      </c>
      <c r="B33" s="1" t="s">
        <v>121</v>
      </c>
      <c r="C33" s="1" t="s">
        <v>101</v>
      </c>
      <c r="D33" s="2">
        <v>12.69730718365612</v>
      </c>
      <c r="E33">
        <v>2</v>
      </c>
      <c r="F33" s="1" t="s">
        <v>320</v>
      </c>
      <c r="G33" s="1">
        <v>36</v>
      </c>
      <c r="H33">
        <v>2</v>
      </c>
      <c r="I33">
        <v>0</v>
      </c>
      <c r="J33" s="1" t="s">
        <v>385</v>
      </c>
      <c r="K33">
        <v>61.4</v>
      </c>
      <c r="L33">
        <v>58.2</v>
      </c>
      <c r="M33" s="3">
        <f>ROUND(I31/3,0)</f>
        <v>2</v>
      </c>
      <c r="N33" s="9">
        <f t="shared" si="0"/>
        <v>53.416375079047505</v>
      </c>
      <c r="O33" s="9">
        <f t="shared" si="1"/>
        <v>63.416375079047505</v>
      </c>
      <c r="P33" s="9">
        <f>L33/O33</f>
        <v>0.91774403578657127</v>
      </c>
      <c r="Q33">
        <v>4</v>
      </c>
      <c r="R33">
        <v>0</v>
      </c>
      <c r="AD33">
        <v>0</v>
      </c>
    </row>
    <row r="34" spans="1:30" x14ac:dyDescent="0.3">
      <c r="A34" s="1" t="s">
        <v>164</v>
      </c>
      <c r="B34" s="1" t="s">
        <v>121</v>
      </c>
      <c r="C34" s="1" t="s">
        <v>111</v>
      </c>
      <c r="D34" s="2">
        <v>43.035431876602253</v>
      </c>
      <c r="E34">
        <v>0</v>
      </c>
      <c r="F34" s="1" t="s">
        <v>320</v>
      </c>
      <c r="G34" s="1">
        <v>0</v>
      </c>
      <c r="H34">
        <v>2</v>
      </c>
      <c r="I34">
        <v>7.4</v>
      </c>
      <c r="J34" s="1" t="s">
        <v>386</v>
      </c>
      <c r="K34">
        <v>52.8</v>
      </c>
      <c r="L34">
        <v>52.7</v>
      </c>
      <c r="M34" s="3">
        <f>ROUND(I32/3,0)</f>
        <v>0</v>
      </c>
      <c r="N34" s="9">
        <f t="shared" ref="N34:N65" si="3">IF(M34=0,40,MAX(95+10*LOG10(M34/$X$2),40))</f>
        <v>40</v>
      </c>
      <c r="O34" s="9">
        <f t="shared" si="1"/>
        <v>50</v>
      </c>
      <c r="P34" s="9">
        <f>L34/O34</f>
        <v>1.054</v>
      </c>
      <c r="Q34">
        <v>0</v>
      </c>
      <c r="R34">
        <v>0</v>
      </c>
      <c r="AD34">
        <v>0</v>
      </c>
    </row>
    <row r="35" spans="1:30" x14ac:dyDescent="0.3">
      <c r="A35" s="1" t="s">
        <v>169</v>
      </c>
      <c r="B35" s="1" t="s">
        <v>121</v>
      </c>
      <c r="C35" s="1" t="s">
        <v>116</v>
      </c>
      <c r="D35" s="2">
        <v>40.85792317403267</v>
      </c>
      <c r="E35">
        <v>0</v>
      </c>
      <c r="F35" s="1" t="s">
        <v>320</v>
      </c>
      <c r="G35" s="1"/>
      <c r="H35">
        <v>2</v>
      </c>
      <c r="I35">
        <v>17.399999999999999</v>
      </c>
      <c r="J35">
        <f>E35+H35</f>
        <v>2</v>
      </c>
      <c r="K35">
        <v>54.4</v>
      </c>
      <c r="L35">
        <v>28.8</v>
      </c>
      <c r="M35" s="3">
        <f>ROUND(I33/3,0)</f>
        <v>0</v>
      </c>
      <c r="N35" s="9">
        <f t="shared" si="3"/>
        <v>40</v>
      </c>
      <c r="O35" s="9">
        <f t="shared" si="1"/>
        <v>50</v>
      </c>
      <c r="P35" s="9">
        <f>L35/O35</f>
        <v>0.57600000000000007</v>
      </c>
      <c r="Q35">
        <v>2534</v>
      </c>
      <c r="R35">
        <v>0</v>
      </c>
      <c r="AD35">
        <v>0</v>
      </c>
    </row>
    <row r="36" spans="1:30" x14ac:dyDescent="0.3">
      <c r="A36" s="1" t="s">
        <v>174</v>
      </c>
      <c r="B36" s="1" t="s">
        <v>121</v>
      </c>
      <c r="C36" s="1" t="s">
        <v>145</v>
      </c>
      <c r="D36" s="2">
        <v>33</v>
      </c>
      <c r="E36">
        <v>2</v>
      </c>
      <c r="F36" s="1" t="s">
        <v>320</v>
      </c>
      <c r="G36" s="1"/>
      <c r="H36">
        <v>4</v>
      </c>
      <c r="I36">
        <v>17.399999999999999</v>
      </c>
      <c r="J36">
        <f>E36+H36</f>
        <v>6</v>
      </c>
      <c r="K36">
        <v>59.1</v>
      </c>
      <c r="L36">
        <v>58.1</v>
      </c>
      <c r="M36" s="3">
        <f>ROUND(I34/3,0)</f>
        <v>2</v>
      </c>
      <c r="N36" s="9">
        <f t="shared" si="3"/>
        <v>53.416375079047505</v>
      </c>
      <c r="O36" s="9">
        <f t="shared" si="1"/>
        <v>63.416375079047505</v>
      </c>
      <c r="P36" s="9">
        <f>L36/O36</f>
        <v>0.91616715599999643</v>
      </c>
      <c r="Q36">
        <v>2</v>
      </c>
      <c r="R36">
        <v>0</v>
      </c>
      <c r="AD36">
        <v>0</v>
      </c>
    </row>
    <row r="37" spans="1:30" x14ac:dyDescent="0.3">
      <c r="A37" s="1" t="s">
        <v>179</v>
      </c>
      <c r="B37" s="1" t="s">
        <v>101</v>
      </c>
      <c r="C37" s="1" t="s">
        <v>106</v>
      </c>
      <c r="D37" s="2">
        <v>31.638521390268441</v>
      </c>
      <c r="E37">
        <v>2</v>
      </c>
      <c r="F37" s="1" t="s">
        <v>320</v>
      </c>
      <c r="G37" s="1">
        <v>54</v>
      </c>
      <c r="H37">
        <v>5</v>
      </c>
      <c r="I37">
        <v>17.7</v>
      </c>
      <c r="J37" s="1">
        <f>(G37/18)+H37</f>
        <v>8</v>
      </c>
      <c r="K37">
        <v>66.5</v>
      </c>
      <c r="L37">
        <v>61.5</v>
      </c>
      <c r="M37" s="3">
        <f>ROUND(I35/3,0)</f>
        <v>6</v>
      </c>
      <c r="N37" s="9">
        <f t="shared" si="3"/>
        <v>58.187587626244131</v>
      </c>
      <c r="O37" s="9">
        <f t="shared" si="1"/>
        <v>68.187587626244124</v>
      </c>
      <c r="P37" s="9">
        <f>L37/O37</f>
        <v>0.9019236805545795</v>
      </c>
      <c r="Q37">
        <v>21</v>
      </c>
      <c r="R37">
        <v>0</v>
      </c>
      <c r="AD37">
        <v>0</v>
      </c>
    </row>
    <row r="38" spans="1:30" x14ac:dyDescent="0.3">
      <c r="A38" s="1" t="s">
        <v>184</v>
      </c>
      <c r="B38" s="1" t="s">
        <v>106</v>
      </c>
      <c r="C38" s="1" t="s">
        <v>111</v>
      </c>
      <c r="D38" s="2">
        <v>17.657917775682769</v>
      </c>
      <c r="E38">
        <v>2</v>
      </c>
      <c r="F38" s="1" t="s">
        <v>320</v>
      </c>
      <c r="G38" s="1">
        <v>54</v>
      </c>
      <c r="H38">
        <v>8</v>
      </c>
      <c r="I38">
        <v>5.5</v>
      </c>
      <c r="J38" s="1" t="s">
        <v>387</v>
      </c>
      <c r="K38">
        <v>46.5</v>
      </c>
      <c r="L38">
        <v>45.6</v>
      </c>
      <c r="M38" s="3">
        <f>ROUND(I36/3,0)</f>
        <v>6</v>
      </c>
      <c r="N38" s="9">
        <f t="shared" si="3"/>
        <v>58.187587626244131</v>
      </c>
      <c r="O38" s="9">
        <f t="shared" si="1"/>
        <v>68.187587626244124</v>
      </c>
      <c r="P38" s="9">
        <f>L38/O38</f>
        <v>0.66874341192339548</v>
      </c>
      <c r="Q38">
        <v>8</v>
      </c>
      <c r="R38">
        <v>0</v>
      </c>
      <c r="AD38">
        <v>0</v>
      </c>
    </row>
    <row r="39" spans="1:30" x14ac:dyDescent="0.3">
      <c r="A39" s="1" t="s">
        <v>189</v>
      </c>
      <c r="B39" s="1" t="s">
        <v>111</v>
      </c>
      <c r="C39" s="1" t="s">
        <v>27</v>
      </c>
      <c r="D39" s="2">
        <v>17.596180055055321</v>
      </c>
      <c r="E39" t="s">
        <v>327</v>
      </c>
      <c r="F39" s="1" t="s">
        <v>320</v>
      </c>
      <c r="G39" s="1" t="s">
        <v>230</v>
      </c>
      <c r="H39">
        <v>0</v>
      </c>
      <c r="I39">
        <v>41.1</v>
      </c>
      <c r="J39">
        <f>ROUND((G39/18)+H39,0)</f>
        <v>3</v>
      </c>
      <c r="K39">
        <v>63.3</v>
      </c>
      <c r="L39">
        <v>59.9</v>
      </c>
      <c r="M39" s="3">
        <f>ROUND(I37/3,0)</f>
        <v>6</v>
      </c>
      <c r="N39" s="9">
        <f t="shared" si="3"/>
        <v>58.187587626244131</v>
      </c>
      <c r="O39" s="9">
        <f t="shared" si="1"/>
        <v>68.187587626244124</v>
      </c>
      <c r="P39" s="9">
        <f>L39/O39</f>
        <v>0.87845899943446026</v>
      </c>
      <c r="Q39">
        <v>14</v>
      </c>
      <c r="R39">
        <v>0</v>
      </c>
      <c r="AD39">
        <v>0</v>
      </c>
    </row>
    <row r="40" spans="1:30" x14ac:dyDescent="0.3">
      <c r="A40" s="1" t="s">
        <v>194</v>
      </c>
      <c r="B40" s="1" t="s">
        <v>174</v>
      </c>
      <c r="C40" s="1" t="s">
        <v>179</v>
      </c>
      <c r="D40" s="2">
        <v>21.856429352510261</v>
      </c>
      <c r="E40">
        <v>2</v>
      </c>
      <c r="F40" s="1" t="s">
        <v>320</v>
      </c>
      <c r="G40" s="1"/>
      <c r="H40">
        <v>4</v>
      </c>
      <c r="I40">
        <v>17.8</v>
      </c>
      <c r="J40">
        <f>E40+H40</f>
        <v>6</v>
      </c>
      <c r="K40">
        <v>68.5</v>
      </c>
      <c r="L40">
        <v>67.099999999999994</v>
      </c>
      <c r="M40" s="3">
        <f>ROUND(I38/3,0)</f>
        <v>2</v>
      </c>
      <c r="N40" s="9">
        <f t="shared" si="3"/>
        <v>53.416375079047505</v>
      </c>
      <c r="O40" s="9">
        <f t="shared" si="1"/>
        <v>63.416375079047505</v>
      </c>
      <c r="P40" s="9">
        <f>L40/O40</f>
        <v>1.0580863367917341</v>
      </c>
      <c r="Q40">
        <v>2</v>
      </c>
      <c r="R40">
        <v>0</v>
      </c>
      <c r="AD40">
        <v>0</v>
      </c>
    </row>
    <row r="41" spans="1:30" x14ac:dyDescent="0.3">
      <c r="A41" s="1" t="s">
        <v>199</v>
      </c>
      <c r="B41" s="1" t="s">
        <v>174</v>
      </c>
      <c r="C41" s="1" t="s">
        <v>184</v>
      </c>
      <c r="D41" s="2">
        <v>13.16677981177515</v>
      </c>
      <c r="E41">
        <v>4</v>
      </c>
      <c r="F41" s="1" t="s">
        <v>301</v>
      </c>
      <c r="G41" s="1"/>
      <c r="H41">
        <v>9</v>
      </c>
      <c r="I41">
        <v>16.3</v>
      </c>
      <c r="J41">
        <f>E41+H41</f>
        <v>13</v>
      </c>
      <c r="K41">
        <v>59.7</v>
      </c>
      <c r="L41">
        <v>60.8</v>
      </c>
      <c r="M41" s="3">
        <f>ROUND(I39/3,0)</f>
        <v>14</v>
      </c>
      <c r="N41" s="9">
        <f t="shared" si="3"/>
        <v>61.867355479190074</v>
      </c>
      <c r="O41" s="9">
        <f t="shared" si="1"/>
        <v>71.867355479190081</v>
      </c>
      <c r="P41" s="9">
        <f>L41/O41</f>
        <v>0.84600302313343434</v>
      </c>
      <c r="Q41">
        <v>10</v>
      </c>
      <c r="R41">
        <v>0</v>
      </c>
      <c r="AD41">
        <v>0</v>
      </c>
    </row>
    <row r="42" spans="1:30" x14ac:dyDescent="0.3">
      <c r="A42" s="1" t="s">
        <v>217</v>
      </c>
      <c r="B42" s="1" t="s">
        <v>179</v>
      </c>
      <c r="C42" s="1" t="s">
        <v>184</v>
      </c>
      <c r="D42" s="2">
        <v>22.990135571128469</v>
      </c>
      <c r="E42">
        <v>2</v>
      </c>
      <c r="F42" s="1" t="s">
        <v>309</v>
      </c>
      <c r="G42" s="1"/>
      <c r="H42">
        <v>2</v>
      </c>
      <c r="I42">
        <v>50.1</v>
      </c>
      <c r="J42">
        <f>E42+H42</f>
        <v>4</v>
      </c>
      <c r="K42">
        <v>65</v>
      </c>
      <c r="L42">
        <v>60.2</v>
      </c>
      <c r="M42" s="3">
        <f>ROUND(I40/3,0)</f>
        <v>6</v>
      </c>
      <c r="N42" s="9">
        <f t="shared" si="3"/>
        <v>58.187587626244131</v>
      </c>
      <c r="O42" s="9">
        <f t="shared" si="1"/>
        <v>68.187587626244124</v>
      </c>
      <c r="P42" s="9">
        <f>L42/O42</f>
        <v>0.88285862714448271</v>
      </c>
      <c r="Q42">
        <v>20</v>
      </c>
      <c r="R42">
        <v>0</v>
      </c>
      <c r="AD42">
        <v>0</v>
      </c>
    </row>
    <row r="43" spans="1:30" x14ac:dyDescent="0.3">
      <c r="A43" s="1" t="s">
        <v>218</v>
      </c>
      <c r="B43" s="1" t="s">
        <v>179</v>
      </c>
      <c r="C43" s="1" t="s">
        <v>41</v>
      </c>
      <c r="D43" s="2">
        <v>8.0442500953485698</v>
      </c>
      <c r="E43" t="s">
        <v>327</v>
      </c>
      <c r="F43" s="1" t="s">
        <v>309</v>
      </c>
      <c r="G43" s="1" t="s">
        <v>281</v>
      </c>
      <c r="H43">
        <v>0</v>
      </c>
      <c r="I43">
        <v>46.6</v>
      </c>
      <c r="J43">
        <f>ROUND((G43/18)+H43,0)</f>
        <v>6</v>
      </c>
      <c r="K43">
        <v>65.8</v>
      </c>
      <c r="L43">
        <v>57.1</v>
      </c>
      <c r="M43" s="3">
        <f>ROUND(I41/3,0)</f>
        <v>5</v>
      </c>
      <c r="N43" s="9">
        <f t="shared" si="3"/>
        <v>57.39577516576788</v>
      </c>
      <c r="O43" s="9">
        <f t="shared" si="1"/>
        <v>67.395775165767873</v>
      </c>
      <c r="P43" s="9">
        <f>L43/O43</f>
        <v>0.84723411607857912</v>
      </c>
      <c r="Q43">
        <v>53</v>
      </c>
      <c r="R43">
        <v>0</v>
      </c>
      <c r="AD43">
        <v>0</v>
      </c>
    </row>
    <row r="44" spans="1:30" x14ac:dyDescent="0.3">
      <c r="A44" s="1" t="s">
        <v>219</v>
      </c>
      <c r="B44" s="1" t="s">
        <v>184</v>
      </c>
      <c r="C44" s="1" t="s">
        <v>164</v>
      </c>
      <c r="D44" s="2">
        <v>21.373638470841371</v>
      </c>
      <c r="E44">
        <v>4</v>
      </c>
      <c r="F44" s="1" t="s">
        <v>305</v>
      </c>
      <c r="G44" s="1" t="s">
        <v>179</v>
      </c>
      <c r="H44">
        <v>8</v>
      </c>
      <c r="I44">
        <v>10.1</v>
      </c>
      <c r="J44">
        <f>ROUND((G44/18)+H44,0)</f>
        <v>10</v>
      </c>
      <c r="K44">
        <v>71</v>
      </c>
      <c r="L44">
        <v>64.7</v>
      </c>
      <c r="M44" s="3">
        <f>ROUND(I42/3,0)</f>
        <v>17</v>
      </c>
      <c r="N44" s="9">
        <f t="shared" si="3"/>
        <v>62.71056433619043</v>
      </c>
      <c r="O44" s="9">
        <f t="shared" si="1"/>
        <v>72.71056433619043</v>
      </c>
      <c r="P44" s="9">
        <f>L44/O44</f>
        <v>0.88982942974899581</v>
      </c>
      <c r="Q44">
        <v>86</v>
      </c>
      <c r="R44">
        <v>0</v>
      </c>
      <c r="AD44">
        <v>0</v>
      </c>
    </row>
    <row r="45" spans="1:30" x14ac:dyDescent="0.3">
      <c r="A45" s="1" t="s">
        <v>220</v>
      </c>
      <c r="B45" s="1" t="s">
        <v>164</v>
      </c>
      <c r="C45" s="1" t="s">
        <v>169</v>
      </c>
      <c r="D45" s="2">
        <v>16.665282238342702</v>
      </c>
      <c r="E45">
        <v>4</v>
      </c>
      <c r="F45" s="1" t="s">
        <v>301</v>
      </c>
      <c r="G45" s="1"/>
      <c r="H45">
        <v>4</v>
      </c>
      <c r="I45">
        <v>46.6</v>
      </c>
      <c r="J45">
        <f>E45+H45</f>
        <v>8</v>
      </c>
      <c r="K45">
        <v>70.099999999999994</v>
      </c>
      <c r="L45">
        <v>64</v>
      </c>
      <c r="M45" s="3">
        <f>ROUND(I43/3,0)</f>
        <v>16</v>
      </c>
      <c r="N45" s="9">
        <f t="shared" si="3"/>
        <v>62.447274948966943</v>
      </c>
      <c r="O45" s="9">
        <f t="shared" si="1"/>
        <v>72.447274948966935</v>
      </c>
      <c r="P45" s="9">
        <f>L45/O45</f>
        <v>0.88340106712202304</v>
      </c>
      <c r="Q45">
        <v>78</v>
      </c>
      <c r="R45">
        <v>0</v>
      </c>
      <c r="AD45">
        <v>0</v>
      </c>
    </row>
    <row r="46" spans="1:30" x14ac:dyDescent="0.3">
      <c r="A46" s="1" t="s">
        <v>221</v>
      </c>
      <c r="B46" s="1" t="s">
        <v>164</v>
      </c>
      <c r="C46" s="1" t="s">
        <v>159</v>
      </c>
      <c r="D46" s="2">
        <v>20.589232048764579</v>
      </c>
      <c r="E46">
        <v>2</v>
      </c>
      <c r="F46" s="1" t="s">
        <v>297</v>
      </c>
      <c r="G46" s="1"/>
      <c r="H46">
        <v>4</v>
      </c>
      <c r="I46">
        <v>6</v>
      </c>
      <c r="J46">
        <f>E46+H46</f>
        <v>6</v>
      </c>
      <c r="K46">
        <v>66.099999999999994</v>
      </c>
      <c r="L46">
        <v>60.9</v>
      </c>
      <c r="M46" s="3">
        <f>ROUND(I44/3,0)</f>
        <v>3</v>
      </c>
      <c r="N46" s="9">
        <f t="shared" si="3"/>
        <v>55.177287669604318</v>
      </c>
      <c r="O46" s="9">
        <f t="shared" si="1"/>
        <v>65.177287669604311</v>
      </c>
      <c r="P46" s="9">
        <f>L46/O46</f>
        <v>0.93437456785120188</v>
      </c>
      <c r="Q46">
        <v>10</v>
      </c>
      <c r="R46">
        <v>0</v>
      </c>
      <c r="AD46">
        <v>0</v>
      </c>
    </row>
    <row r="47" spans="1:30" x14ac:dyDescent="0.3">
      <c r="A47" s="1" t="s">
        <v>222</v>
      </c>
      <c r="B47" s="1" t="s">
        <v>169</v>
      </c>
      <c r="C47" s="1" t="s">
        <v>189</v>
      </c>
      <c r="D47" s="2">
        <v>19.273534345386231</v>
      </c>
      <c r="E47">
        <v>4</v>
      </c>
      <c r="F47" s="1" t="s">
        <v>301</v>
      </c>
      <c r="G47" s="1"/>
      <c r="H47">
        <v>12</v>
      </c>
      <c r="I47">
        <v>14</v>
      </c>
      <c r="J47">
        <f>E47+H47</f>
        <v>16</v>
      </c>
      <c r="K47">
        <v>54.8</v>
      </c>
      <c r="L47">
        <v>53</v>
      </c>
      <c r="M47" s="3">
        <f>ROUND(I45/3,0)</f>
        <v>16</v>
      </c>
      <c r="N47" s="9">
        <f t="shared" si="3"/>
        <v>62.447274948966943</v>
      </c>
      <c r="O47" s="9">
        <f t="shared" si="1"/>
        <v>72.447274948966935</v>
      </c>
      <c r="P47" s="9">
        <f>L47/O47</f>
        <v>0.73156650871042539</v>
      </c>
      <c r="Q47">
        <v>28</v>
      </c>
      <c r="R47">
        <v>0</v>
      </c>
      <c r="AD47">
        <v>0</v>
      </c>
    </row>
    <row r="48" spans="1:30" x14ac:dyDescent="0.3">
      <c r="A48" s="1" t="s">
        <v>223</v>
      </c>
      <c r="B48" s="1" t="s">
        <v>169</v>
      </c>
      <c r="C48" s="1" t="s">
        <v>159</v>
      </c>
      <c r="D48" s="2">
        <v>11.972313908110589</v>
      </c>
      <c r="E48">
        <v>2</v>
      </c>
      <c r="F48" s="1" t="s">
        <v>320</v>
      </c>
      <c r="G48" s="1"/>
      <c r="H48">
        <v>8</v>
      </c>
      <c r="I48">
        <v>2.2000000000000002</v>
      </c>
      <c r="J48">
        <f>E48+H48</f>
        <v>10</v>
      </c>
      <c r="K48">
        <v>68.2</v>
      </c>
      <c r="L48">
        <v>61.6</v>
      </c>
      <c r="M48" s="3">
        <f>ROUND(I46/3,0)</f>
        <v>2</v>
      </c>
      <c r="N48" s="9">
        <f t="shared" si="3"/>
        <v>53.416375079047505</v>
      </c>
      <c r="O48" s="9">
        <f t="shared" si="1"/>
        <v>63.416375079047505</v>
      </c>
      <c r="P48" s="9">
        <f>L48/O48</f>
        <v>0.9713579485301167</v>
      </c>
      <c r="Q48">
        <v>9</v>
      </c>
      <c r="R48">
        <v>0</v>
      </c>
      <c r="AD48">
        <v>0</v>
      </c>
    </row>
    <row r="49" spans="1:30" x14ac:dyDescent="0.3">
      <c r="A49" s="1" t="s">
        <v>224</v>
      </c>
      <c r="B49" s="1" t="s">
        <v>159</v>
      </c>
      <c r="C49" s="1" t="s">
        <v>155</v>
      </c>
      <c r="D49" s="2">
        <v>18.79830710910274</v>
      </c>
      <c r="E49">
        <v>2</v>
      </c>
      <c r="F49" s="1" t="s">
        <v>297</v>
      </c>
      <c r="G49" s="1" t="s">
        <v>91</v>
      </c>
      <c r="H49">
        <v>8</v>
      </c>
      <c r="I49">
        <v>60.3</v>
      </c>
      <c r="J49">
        <f>ROUND((G49/18)+H49,0)</f>
        <v>9</v>
      </c>
      <c r="K49">
        <v>69.3</v>
      </c>
      <c r="L49">
        <v>63.9</v>
      </c>
      <c r="M49" s="3">
        <f>ROUND(I47/3,0)</f>
        <v>5</v>
      </c>
      <c r="N49" s="9">
        <f t="shared" si="3"/>
        <v>57.39577516576788</v>
      </c>
      <c r="O49" s="9">
        <f t="shared" si="1"/>
        <v>67.395775165767873</v>
      </c>
      <c r="P49" s="9">
        <f>L49/O49</f>
        <v>0.9481306482910894</v>
      </c>
      <c r="Q49">
        <v>18</v>
      </c>
      <c r="R49">
        <v>0</v>
      </c>
      <c r="AD49">
        <v>0</v>
      </c>
    </row>
    <row r="50" spans="1:30" x14ac:dyDescent="0.3">
      <c r="A50" s="1" t="s">
        <v>225</v>
      </c>
      <c r="B50" s="1" t="s">
        <v>159</v>
      </c>
      <c r="C50" s="1" t="s">
        <v>150</v>
      </c>
      <c r="D50" s="2">
        <v>42.165000061961251</v>
      </c>
      <c r="E50">
        <v>0</v>
      </c>
      <c r="F50" s="1" t="s">
        <v>320</v>
      </c>
      <c r="G50" s="1"/>
      <c r="H50">
        <v>6</v>
      </c>
      <c r="I50">
        <v>7.4</v>
      </c>
      <c r="J50">
        <f>E50+H50</f>
        <v>6</v>
      </c>
      <c r="K50">
        <v>44.4</v>
      </c>
      <c r="L50">
        <v>43.1</v>
      </c>
      <c r="M50" s="3">
        <f>ROUND(I48/3,0)</f>
        <v>1</v>
      </c>
      <c r="N50" s="9">
        <f t="shared" si="3"/>
        <v>50.406075122407692</v>
      </c>
      <c r="O50" s="9">
        <f t="shared" si="1"/>
        <v>60.406075122407692</v>
      </c>
      <c r="P50" s="9">
        <f>L50/O50</f>
        <v>0.71350439360050422</v>
      </c>
      <c r="Q50">
        <v>1</v>
      </c>
      <c r="R50">
        <v>0</v>
      </c>
      <c r="AD50">
        <v>0</v>
      </c>
    </row>
    <row r="51" spans="1:30" x14ac:dyDescent="0.3">
      <c r="A51" s="1" t="s">
        <v>226</v>
      </c>
      <c r="B51" s="1" t="s">
        <v>155</v>
      </c>
      <c r="C51" s="1" t="s">
        <v>150</v>
      </c>
      <c r="D51" s="2">
        <v>39.853056149954732</v>
      </c>
      <c r="E51">
        <v>6</v>
      </c>
      <c r="F51" s="1" t="s">
        <v>301</v>
      </c>
      <c r="G51" s="1">
        <v>180</v>
      </c>
      <c r="H51">
        <v>0</v>
      </c>
      <c r="I51">
        <v>60.3</v>
      </c>
      <c r="J51">
        <f>ROUND((G51/18)+H51,0)</f>
        <v>10</v>
      </c>
      <c r="K51">
        <v>61.4</v>
      </c>
      <c r="L51">
        <v>50.5</v>
      </c>
      <c r="M51" s="3">
        <f>ROUND(I49/3,0)</f>
        <v>20</v>
      </c>
      <c r="N51" s="9">
        <f t="shared" si="3"/>
        <v>63.416375079047498</v>
      </c>
      <c r="O51" s="9">
        <f t="shared" si="1"/>
        <v>73.416375079047498</v>
      </c>
      <c r="P51" s="9">
        <f>L51/O51</f>
        <v>0.68785744250688752</v>
      </c>
      <c r="Q51">
        <v>768</v>
      </c>
      <c r="R51">
        <v>0</v>
      </c>
      <c r="AD51">
        <v>0</v>
      </c>
    </row>
    <row r="52" spans="1:30" x14ac:dyDescent="0.3">
      <c r="A52" s="1" t="s">
        <v>227</v>
      </c>
      <c r="B52" s="1" t="s">
        <v>150</v>
      </c>
      <c r="C52" s="1" t="s">
        <v>145</v>
      </c>
      <c r="D52" s="2">
        <v>16.032524534719801</v>
      </c>
      <c r="E52">
        <v>2</v>
      </c>
      <c r="F52" s="1" t="s">
        <v>320</v>
      </c>
      <c r="G52" s="1"/>
      <c r="H52">
        <v>12</v>
      </c>
      <c r="I52">
        <v>0.5</v>
      </c>
      <c r="J52">
        <f>E52+H52</f>
        <v>14</v>
      </c>
      <c r="K52">
        <v>49.5</v>
      </c>
      <c r="L52">
        <v>46.1</v>
      </c>
      <c r="M52" s="3">
        <f>ROUND(I50/3,0)</f>
        <v>2</v>
      </c>
      <c r="N52" s="9">
        <f t="shared" si="3"/>
        <v>53.416375079047505</v>
      </c>
      <c r="O52" s="9">
        <f t="shared" si="1"/>
        <v>63.416375079047505</v>
      </c>
      <c r="P52" s="9">
        <f>L52/O52</f>
        <v>0.72694158161101263</v>
      </c>
      <c r="Q52">
        <v>5</v>
      </c>
      <c r="R52">
        <v>0</v>
      </c>
      <c r="AD52">
        <v>0</v>
      </c>
    </row>
    <row r="53" spans="1:30" x14ac:dyDescent="0.3">
      <c r="A53" s="1" t="s">
        <v>228</v>
      </c>
      <c r="B53" s="1" t="s">
        <v>150</v>
      </c>
      <c r="C53" s="1" t="s">
        <v>140</v>
      </c>
      <c r="D53" s="2">
        <v>32</v>
      </c>
      <c r="E53">
        <v>6</v>
      </c>
      <c r="F53" s="1" t="s">
        <v>301</v>
      </c>
      <c r="G53" s="1">
        <v>180</v>
      </c>
      <c r="H53">
        <v>0</v>
      </c>
      <c r="I53">
        <v>56</v>
      </c>
      <c r="J53">
        <f>ROUND((G53/18)+H53,0)</f>
        <v>10</v>
      </c>
      <c r="K53">
        <v>59.3</v>
      </c>
      <c r="L53">
        <v>48.8</v>
      </c>
      <c r="M53" s="3">
        <f>ROUND(I51/3,0)</f>
        <v>20</v>
      </c>
      <c r="N53" s="9">
        <f t="shared" si="3"/>
        <v>63.416375079047498</v>
      </c>
      <c r="O53" s="9">
        <f t="shared" si="1"/>
        <v>73.416375079047498</v>
      </c>
      <c r="P53" s="9">
        <f>L53/O53</f>
        <v>0.66470184543239819</v>
      </c>
      <c r="Q53">
        <v>759</v>
      </c>
      <c r="R53">
        <v>0</v>
      </c>
      <c r="AD53">
        <v>0</v>
      </c>
    </row>
    <row r="54" spans="1:30" x14ac:dyDescent="0.3">
      <c r="A54" s="1" t="s">
        <v>229</v>
      </c>
      <c r="B54" s="1" t="s">
        <v>150</v>
      </c>
      <c r="C54" s="1" t="s">
        <v>194</v>
      </c>
      <c r="D54" s="2">
        <v>64</v>
      </c>
      <c r="E54">
        <v>0</v>
      </c>
      <c r="F54" s="1" t="s">
        <v>320</v>
      </c>
      <c r="G54" s="1"/>
      <c r="H54">
        <v>4</v>
      </c>
      <c r="I54">
        <v>0</v>
      </c>
      <c r="J54">
        <f>E54+H54</f>
        <v>4</v>
      </c>
      <c r="K54">
        <v>52.3</v>
      </c>
      <c r="L54">
        <v>51.3</v>
      </c>
      <c r="M54" s="3">
        <f>ROUND(I52/3,0)</f>
        <v>0</v>
      </c>
      <c r="N54" s="9">
        <f t="shared" si="3"/>
        <v>40</v>
      </c>
      <c r="O54" s="9">
        <f t="shared" si="1"/>
        <v>50</v>
      </c>
      <c r="P54" s="9">
        <f>L54/O54</f>
        <v>1.026</v>
      </c>
      <c r="Q54">
        <v>0</v>
      </c>
      <c r="R54">
        <v>0</v>
      </c>
      <c r="AD54">
        <v>0</v>
      </c>
    </row>
    <row r="55" spans="1:30" x14ac:dyDescent="0.3">
      <c r="A55" s="1" t="s">
        <v>230</v>
      </c>
      <c r="B55" s="1" t="s">
        <v>140</v>
      </c>
      <c r="C55" s="1" t="s">
        <v>145</v>
      </c>
      <c r="D55" s="2">
        <v>18</v>
      </c>
      <c r="E55">
        <v>0</v>
      </c>
      <c r="F55" s="1" t="s">
        <v>320</v>
      </c>
      <c r="G55" s="1"/>
      <c r="H55">
        <v>7</v>
      </c>
      <c r="I55">
        <v>56</v>
      </c>
      <c r="J55">
        <f>E55+H55</f>
        <v>7</v>
      </c>
      <c r="K55">
        <v>59.6</v>
      </c>
      <c r="L55">
        <v>54.2</v>
      </c>
      <c r="M55" s="3">
        <f>ROUND(I53/3,0)</f>
        <v>19</v>
      </c>
      <c r="N55" s="9">
        <f t="shared" si="3"/>
        <v>63.193611131935981</v>
      </c>
      <c r="O55" s="9">
        <f t="shared" si="1"/>
        <v>73.193611131935981</v>
      </c>
      <c r="P55" s="9">
        <f>L55/O55</f>
        <v>0.74050178918350096</v>
      </c>
      <c r="Q55">
        <v>101</v>
      </c>
      <c r="R55">
        <v>0</v>
      </c>
      <c r="AD55">
        <v>0</v>
      </c>
    </row>
    <row r="56" spans="1:30" x14ac:dyDescent="0.3">
      <c r="A56" s="1" t="s">
        <v>231</v>
      </c>
      <c r="B56" s="1" t="s">
        <v>140</v>
      </c>
      <c r="C56" s="1" t="s">
        <v>116</v>
      </c>
      <c r="D56" s="2">
        <v>44.459294447621893</v>
      </c>
      <c r="E56">
        <v>0</v>
      </c>
      <c r="F56" s="1" t="s">
        <v>320</v>
      </c>
      <c r="G56" s="1"/>
      <c r="H56">
        <v>4</v>
      </c>
      <c r="I56">
        <v>41.9</v>
      </c>
      <c r="J56">
        <f>E56+H56</f>
        <v>4</v>
      </c>
      <c r="K56">
        <v>50.5</v>
      </c>
      <c r="L56">
        <v>52.2</v>
      </c>
      <c r="M56" s="3">
        <f>ROUND(I54/3,0)</f>
        <v>0</v>
      </c>
      <c r="N56" s="9">
        <f t="shared" si="3"/>
        <v>40</v>
      </c>
      <c r="O56" s="9">
        <f t="shared" si="1"/>
        <v>50</v>
      </c>
      <c r="P56" s="9">
        <f>L56/O56</f>
        <v>1.044</v>
      </c>
      <c r="Q56">
        <v>0</v>
      </c>
      <c r="R56">
        <v>0</v>
      </c>
      <c r="AD56">
        <v>0</v>
      </c>
    </row>
    <row r="57" spans="1:30" x14ac:dyDescent="0.3">
      <c r="A57" s="1" t="s">
        <v>232</v>
      </c>
      <c r="B57" s="1" t="s">
        <v>140</v>
      </c>
      <c r="C57" s="1" t="s">
        <v>33</v>
      </c>
      <c r="D57" s="2">
        <v>5.0752748951873361</v>
      </c>
      <c r="E57" t="s">
        <v>327</v>
      </c>
      <c r="F57" s="1" t="s">
        <v>301</v>
      </c>
      <c r="G57" s="5" t="s">
        <v>271</v>
      </c>
      <c r="H57">
        <v>0</v>
      </c>
      <c r="I57">
        <v>5.0999999999999996</v>
      </c>
      <c r="J57">
        <f>ROUND((G57/18)+H57,0)</f>
        <v>5</v>
      </c>
      <c r="K57">
        <v>53</v>
      </c>
      <c r="L57">
        <v>47</v>
      </c>
      <c r="M57" s="3">
        <f>ROUND(I55/3,0)</f>
        <v>19</v>
      </c>
      <c r="N57" s="9">
        <f t="shared" si="3"/>
        <v>63.193611131935981</v>
      </c>
      <c r="O57" s="9">
        <f t="shared" si="1"/>
        <v>73.193611131935981</v>
      </c>
      <c r="P57" s="9">
        <f>L57/O57</f>
        <v>0.64213254781595097</v>
      </c>
      <c r="Q57">
        <v>163</v>
      </c>
      <c r="R57">
        <v>0</v>
      </c>
      <c r="AD57">
        <v>0</v>
      </c>
    </row>
    <row r="58" spans="1:30" x14ac:dyDescent="0.3">
      <c r="A58" s="1" t="s">
        <v>233</v>
      </c>
      <c r="B58" s="1" t="s">
        <v>189</v>
      </c>
      <c r="C58" s="1" t="s">
        <v>194</v>
      </c>
      <c r="D58" s="2">
        <v>55</v>
      </c>
      <c r="E58">
        <v>4</v>
      </c>
      <c r="F58" s="1" t="s">
        <v>301</v>
      </c>
      <c r="G58" s="1"/>
      <c r="H58">
        <v>4</v>
      </c>
      <c r="I58">
        <v>5.5</v>
      </c>
      <c r="J58">
        <f>E58+H58</f>
        <v>8</v>
      </c>
      <c r="K58">
        <v>66.599999999999994</v>
      </c>
      <c r="L58">
        <v>63.1</v>
      </c>
      <c r="M58" s="3">
        <f>ROUND(I56/3,0)</f>
        <v>14</v>
      </c>
      <c r="N58" s="9">
        <f t="shared" si="3"/>
        <v>61.867355479190074</v>
      </c>
      <c r="O58" s="9">
        <f t="shared" si="1"/>
        <v>71.867355479190081</v>
      </c>
      <c r="P58" s="9">
        <f>L58/O58</f>
        <v>0.87800642696907416</v>
      </c>
      <c r="Q58">
        <v>35</v>
      </c>
      <c r="R58">
        <v>0</v>
      </c>
      <c r="AD58">
        <v>0</v>
      </c>
    </row>
    <row r="59" spans="1:30" x14ac:dyDescent="0.3">
      <c r="A59" s="1" t="s">
        <v>234</v>
      </c>
      <c r="B59" s="1" t="s">
        <v>189</v>
      </c>
      <c r="C59" s="1" t="s">
        <v>199</v>
      </c>
      <c r="D59" s="2">
        <v>45.424783572726803</v>
      </c>
      <c r="E59">
        <v>2</v>
      </c>
      <c r="F59" s="1" t="s">
        <v>320</v>
      </c>
      <c r="G59" s="1"/>
      <c r="H59">
        <v>6</v>
      </c>
      <c r="I59">
        <v>43.4</v>
      </c>
      <c r="J59">
        <f>E59+H59</f>
        <v>8</v>
      </c>
      <c r="K59">
        <v>57.1</v>
      </c>
      <c r="L59">
        <v>56.2</v>
      </c>
      <c r="M59" s="3">
        <f>ROUND(I57/3,0)</f>
        <v>2</v>
      </c>
      <c r="N59" s="9">
        <f t="shared" si="3"/>
        <v>53.416375079047505</v>
      </c>
      <c r="O59" s="9">
        <f t="shared" si="1"/>
        <v>63.416375079047505</v>
      </c>
      <c r="P59" s="9">
        <f>L59/O59</f>
        <v>0.88620644005507399</v>
      </c>
      <c r="Q59">
        <v>2</v>
      </c>
      <c r="R59">
        <v>0</v>
      </c>
      <c r="V59" t="s">
        <v>55</v>
      </c>
      <c r="AD59">
        <v>0</v>
      </c>
    </row>
    <row r="60" spans="1:30" x14ac:dyDescent="0.3">
      <c r="A60" s="1" t="s">
        <v>235</v>
      </c>
      <c r="B60" s="1" t="s">
        <v>194</v>
      </c>
      <c r="C60" s="1" t="s">
        <v>199</v>
      </c>
      <c r="D60" s="2">
        <v>23</v>
      </c>
      <c r="E60">
        <v>1</v>
      </c>
      <c r="F60" s="1" t="s">
        <v>305</v>
      </c>
      <c r="G60" s="1"/>
      <c r="H60">
        <v>2</v>
      </c>
      <c r="I60">
        <v>10.3</v>
      </c>
      <c r="J60">
        <f>E60+H60</f>
        <v>3</v>
      </c>
      <c r="K60">
        <v>59.3</v>
      </c>
      <c r="L60">
        <v>53.3</v>
      </c>
      <c r="M60" s="3">
        <f>ROUND(I58/3,0)</f>
        <v>2</v>
      </c>
      <c r="N60" s="9">
        <f t="shared" si="3"/>
        <v>53.416375079047505</v>
      </c>
      <c r="O60" s="9">
        <f t="shared" si="1"/>
        <v>63.416375079047505</v>
      </c>
      <c r="P60" s="9">
        <f>L60/O60</f>
        <v>0.84047692624440284</v>
      </c>
      <c r="Q60">
        <v>10</v>
      </c>
      <c r="R60">
        <v>0</v>
      </c>
      <c r="AD60">
        <v>0</v>
      </c>
    </row>
    <row r="61" spans="1:30" x14ac:dyDescent="0.3">
      <c r="A61" s="1" t="s">
        <v>236</v>
      </c>
      <c r="B61" s="1" t="s">
        <v>194</v>
      </c>
      <c r="C61" s="1" t="s">
        <v>37</v>
      </c>
      <c r="D61" s="2">
        <v>4.3008184551349826</v>
      </c>
      <c r="E61" t="s">
        <v>327</v>
      </c>
      <c r="F61" s="1" t="s">
        <v>309</v>
      </c>
      <c r="G61" s="1">
        <v>48</v>
      </c>
      <c r="H61">
        <v>0</v>
      </c>
      <c r="I61">
        <v>9.6</v>
      </c>
      <c r="J61">
        <f>ROUND((G61/18)+H61,0)</f>
        <v>3</v>
      </c>
      <c r="K61">
        <v>64.5</v>
      </c>
      <c r="L61">
        <v>55.1</v>
      </c>
      <c r="M61" s="3">
        <f>ROUND(I59/3,0)</f>
        <v>14</v>
      </c>
      <c r="N61" s="9">
        <f t="shared" si="3"/>
        <v>61.867355479190074</v>
      </c>
      <c r="O61" s="9">
        <f t="shared" si="1"/>
        <v>71.867355479190081</v>
      </c>
      <c r="P61" s="9">
        <f>L61/O61</f>
        <v>0.76669023971467498</v>
      </c>
      <c r="Q61">
        <v>235</v>
      </c>
      <c r="R61">
        <v>0</v>
      </c>
      <c r="AD61">
        <v>0</v>
      </c>
    </row>
    <row r="62" spans="1:30" x14ac:dyDescent="0.3">
      <c r="A62" s="1" t="s">
        <v>237</v>
      </c>
      <c r="B62" s="1" t="s">
        <v>199</v>
      </c>
      <c r="C62" s="1" t="s">
        <v>45</v>
      </c>
      <c r="D62" s="2">
        <v>28.127758747764041</v>
      </c>
      <c r="E62">
        <v>2</v>
      </c>
      <c r="F62" s="1" t="s">
        <v>320</v>
      </c>
      <c r="G62" s="1"/>
      <c r="H62">
        <v>6</v>
      </c>
      <c r="I62">
        <v>51.9</v>
      </c>
      <c r="J62">
        <f>E62+H62</f>
        <v>8</v>
      </c>
      <c r="K62">
        <v>63.3</v>
      </c>
      <c r="L62">
        <v>58.5</v>
      </c>
      <c r="M62" s="3">
        <f>ROUND(I60/3,0)</f>
        <v>3</v>
      </c>
      <c r="N62" s="9">
        <f t="shared" si="3"/>
        <v>55.177287669604318</v>
      </c>
      <c r="O62" s="9">
        <f t="shared" si="1"/>
        <v>65.177287669604311</v>
      </c>
      <c r="P62" s="9">
        <f>L62/O62</f>
        <v>0.89755192478317425</v>
      </c>
      <c r="Q62">
        <v>10</v>
      </c>
      <c r="R62">
        <v>0</v>
      </c>
      <c r="AD62">
        <v>0</v>
      </c>
    </row>
    <row r="63" spans="1:30" x14ac:dyDescent="0.3">
      <c r="A63" s="1" t="s">
        <v>238</v>
      </c>
      <c r="B63" s="1" t="s">
        <v>62</v>
      </c>
      <c r="C63" s="1" t="s">
        <v>6</v>
      </c>
      <c r="D63" s="2">
        <v>13.555943937177391</v>
      </c>
      <c r="E63">
        <v>2</v>
      </c>
      <c r="F63" s="1" t="s">
        <v>295</v>
      </c>
      <c r="G63" s="1"/>
      <c r="H63">
        <v>0</v>
      </c>
      <c r="I63">
        <v>40.4</v>
      </c>
      <c r="J63">
        <f>E63+H63</f>
        <v>2</v>
      </c>
      <c r="K63">
        <v>61.2</v>
      </c>
      <c r="L63">
        <v>58.1</v>
      </c>
      <c r="M63" s="3">
        <f>ROUND(I63/3,0)</f>
        <v>13</v>
      </c>
      <c r="N63" s="9">
        <f t="shared" si="3"/>
        <v>61.545508645476062</v>
      </c>
      <c r="O63" s="9">
        <f t="shared" si="1"/>
        <v>71.545508645476062</v>
      </c>
      <c r="P63" s="9">
        <f>L63/O63</f>
        <v>0.8120705422320561</v>
      </c>
      <c r="Q63">
        <v>6</v>
      </c>
      <c r="R63">
        <v>0</v>
      </c>
      <c r="AD63">
        <v>0</v>
      </c>
    </row>
    <row r="64" spans="1:30" x14ac:dyDescent="0.3">
      <c r="A64" s="1" t="s">
        <v>239</v>
      </c>
      <c r="B64" s="1" t="s">
        <v>155</v>
      </c>
      <c r="C64" s="1" t="s">
        <v>6</v>
      </c>
      <c r="D64" s="2">
        <v>46.788942735990872</v>
      </c>
      <c r="E64">
        <v>6</v>
      </c>
      <c r="F64" s="1" t="s">
        <v>301</v>
      </c>
      <c r="G64" s="1">
        <v>108</v>
      </c>
      <c r="H64">
        <v>0</v>
      </c>
      <c r="I64">
        <v>5.5</v>
      </c>
      <c r="J64" s="1">
        <f>(G64/18)+H64</f>
        <v>6</v>
      </c>
      <c r="K64">
        <v>72.2</v>
      </c>
      <c r="L64">
        <v>69</v>
      </c>
      <c r="M64" s="3">
        <f>ROUND(I64/3,0)</f>
        <v>2</v>
      </c>
      <c r="N64" s="9">
        <f t="shared" si="3"/>
        <v>53.416375079047505</v>
      </c>
      <c r="O64" s="9">
        <f t="shared" si="1"/>
        <v>63.416375079047505</v>
      </c>
      <c r="P64" s="9">
        <f>L64/O64</f>
        <v>1.0880470527366566</v>
      </c>
      <c r="Q64">
        <v>36</v>
      </c>
      <c r="R64">
        <v>0</v>
      </c>
      <c r="AD64">
        <v>0</v>
      </c>
    </row>
    <row r="65" spans="1:30" x14ac:dyDescent="0.3">
      <c r="A65" s="1" t="s">
        <v>240</v>
      </c>
      <c r="B65" s="1" t="s">
        <v>174</v>
      </c>
      <c r="C65" s="1" t="s">
        <v>6</v>
      </c>
      <c r="D65" s="2">
        <v>16.474316860029141</v>
      </c>
      <c r="E65">
        <v>6</v>
      </c>
      <c r="F65" s="1" t="s">
        <v>305</v>
      </c>
      <c r="G65" s="1">
        <v>90</v>
      </c>
      <c r="H65">
        <v>8</v>
      </c>
      <c r="I65">
        <v>6.8</v>
      </c>
      <c r="J65" s="1">
        <f>(G65/18)+H65</f>
        <v>13</v>
      </c>
      <c r="K65">
        <v>73.5</v>
      </c>
      <c r="L65">
        <v>70.5</v>
      </c>
      <c r="M65" s="3">
        <f>ROUND(I65/3,0)</f>
        <v>2</v>
      </c>
      <c r="N65" s="9">
        <f t="shared" si="3"/>
        <v>53.416375079047505</v>
      </c>
      <c r="O65" s="9">
        <f t="shared" si="1"/>
        <v>63.416375079047505</v>
      </c>
      <c r="P65" s="9">
        <f>L65/O65</f>
        <v>1.1117002495352797</v>
      </c>
      <c r="Q65">
        <v>26</v>
      </c>
      <c r="R65">
        <v>0</v>
      </c>
      <c r="AD65">
        <v>0</v>
      </c>
    </row>
    <row r="66" spans="1:30" x14ac:dyDescent="0.3">
      <c r="A66" s="1" t="s">
        <v>241</v>
      </c>
      <c r="B66" s="1" t="s">
        <v>174</v>
      </c>
      <c r="C66" s="1" t="s">
        <v>12</v>
      </c>
      <c r="D66" s="2">
        <v>4.391580784857017</v>
      </c>
      <c r="E66">
        <v>1</v>
      </c>
      <c r="F66" s="1" t="s">
        <v>320</v>
      </c>
      <c r="G66" s="1"/>
      <c r="H66">
        <v>0</v>
      </c>
      <c r="I66">
        <v>11.5</v>
      </c>
      <c r="J66">
        <f>E66+H66</f>
        <v>1</v>
      </c>
      <c r="K66">
        <v>72.099999999999994</v>
      </c>
      <c r="L66">
        <v>69.099999999999994</v>
      </c>
      <c r="M66" s="3">
        <f>ROUND(I66/3,0)</f>
        <v>4</v>
      </c>
      <c r="N66" s="9">
        <f t="shared" ref="N66:N97" si="4">IF(M66=0,40,MAX(95+10*LOG10(M66/$X$2),40))</f>
        <v>56.426675035687317</v>
      </c>
      <c r="O66" s="9">
        <f t="shared" si="1"/>
        <v>66.42667503568731</v>
      </c>
      <c r="P66" s="9">
        <f>L66/O66</f>
        <v>1.0402447505144048</v>
      </c>
      <c r="Q66">
        <v>3</v>
      </c>
      <c r="R66">
        <v>0</v>
      </c>
      <c r="AD66">
        <v>0</v>
      </c>
    </row>
    <row r="67" spans="1:30" x14ac:dyDescent="0.3">
      <c r="A67" s="1" t="s">
        <v>242</v>
      </c>
      <c r="B67" s="1" t="s">
        <v>179</v>
      </c>
      <c r="C67" s="1" t="s">
        <v>17</v>
      </c>
      <c r="D67" s="2">
        <v>54.090172208685452</v>
      </c>
      <c r="E67">
        <v>2</v>
      </c>
      <c r="F67" s="1" t="s">
        <v>320</v>
      </c>
      <c r="G67" s="1"/>
      <c r="H67">
        <v>3</v>
      </c>
      <c r="I67">
        <v>5.9</v>
      </c>
      <c r="J67">
        <f t="shared" ref="J67:J121" si="5">E67+H67</f>
        <v>5</v>
      </c>
      <c r="K67">
        <v>57.8</v>
      </c>
      <c r="L67">
        <v>56.4</v>
      </c>
      <c r="M67" s="3">
        <f>ROUND(I67/3,0)</f>
        <v>2</v>
      </c>
      <c r="N67" s="9">
        <f>IF(M67=0,40,MAX(95+10*LOG10(M67/$X$2),40))</f>
        <v>53.416375079047505</v>
      </c>
      <c r="O67" s="9">
        <f t="shared" ref="O67:O123" si="6">N67+10</f>
        <v>63.416375079047505</v>
      </c>
      <c r="P67" s="9">
        <f>L67/O67</f>
        <v>0.88936019962822366</v>
      </c>
      <c r="Q67">
        <v>2</v>
      </c>
      <c r="R67">
        <v>0</v>
      </c>
      <c r="AD67">
        <v>0</v>
      </c>
    </row>
    <row r="68" spans="1:30" x14ac:dyDescent="0.3">
      <c r="A68" s="1" t="s">
        <v>243</v>
      </c>
      <c r="B68" s="1" t="s">
        <v>72</v>
      </c>
      <c r="C68" s="1" t="s">
        <v>22</v>
      </c>
      <c r="D68" s="2">
        <v>6.6600972009983836</v>
      </c>
      <c r="E68">
        <v>2</v>
      </c>
      <c r="F68" s="1" t="s">
        <v>320</v>
      </c>
      <c r="G68" s="1"/>
      <c r="H68">
        <v>11</v>
      </c>
      <c r="I68">
        <v>0.5</v>
      </c>
      <c r="J68">
        <f t="shared" si="5"/>
        <v>13</v>
      </c>
      <c r="K68">
        <v>66.099999999999994</v>
      </c>
      <c r="L68">
        <v>60</v>
      </c>
      <c r="M68" s="3">
        <f>ROUND(I68/3,0)</f>
        <v>0</v>
      </c>
      <c r="N68" s="9">
        <f>IF(M68=0,40,MAX(95+10*LOG10(M68/$X$2),40))</f>
        <v>40</v>
      </c>
      <c r="O68" s="9">
        <f t="shared" si="6"/>
        <v>50</v>
      </c>
      <c r="P68" s="9">
        <f>L68/O68</f>
        <v>1.2</v>
      </c>
      <c r="Q68">
        <v>18</v>
      </c>
      <c r="R68">
        <v>0</v>
      </c>
      <c r="AD68">
        <v>0</v>
      </c>
    </row>
    <row r="69" spans="1:30" x14ac:dyDescent="0.3">
      <c r="A69" s="1" t="s">
        <v>244</v>
      </c>
      <c r="B69" s="1" t="s">
        <v>22</v>
      </c>
      <c r="C69" s="1" t="s">
        <v>217</v>
      </c>
      <c r="D69" s="2">
        <v>14</v>
      </c>
      <c r="E69">
        <v>2</v>
      </c>
      <c r="F69" s="1" t="s">
        <v>320</v>
      </c>
      <c r="G69" s="1"/>
      <c r="H69">
        <v>11</v>
      </c>
      <c r="I69">
        <v>9.6</v>
      </c>
      <c r="J69">
        <f t="shared" si="5"/>
        <v>13</v>
      </c>
      <c r="K69">
        <v>64.8</v>
      </c>
      <c r="L69">
        <v>61.2</v>
      </c>
      <c r="M69" s="3">
        <f>ROUND(I69/3,0)</f>
        <v>3</v>
      </c>
      <c r="N69" s="9">
        <f>IF(M69=0,40,MAX(95+10*LOG10(M69/$X$2),40))</f>
        <v>55.177287669604318</v>
      </c>
      <c r="O69" s="9">
        <f t="shared" si="6"/>
        <v>65.177287669604311</v>
      </c>
      <c r="P69" s="9">
        <f>L69/O69</f>
        <v>0.93897739823470538</v>
      </c>
      <c r="Q69">
        <v>4</v>
      </c>
      <c r="R69">
        <v>0</v>
      </c>
      <c r="AD69">
        <v>0</v>
      </c>
    </row>
    <row r="70" spans="1:30" x14ac:dyDescent="0.3">
      <c r="A70" s="1" t="s">
        <v>245</v>
      </c>
      <c r="B70" s="1" t="s">
        <v>50</v>
      </c>
      <c r="C70" s="1" t="s">
        <v>62</v>
      </c>
      <c r="D70" s="2">
        <v>20.023180739473109</v>
      </c>
      <c r="E70">
        <v>0</v>
      </c>
      <c r="F70" s="1" t="s">
        <v>320</v>
      </c>
      <c r="G70" s="1"/>
      <c r="H70">
        <v>14</v>
      </c>
      <c r="I70">
        <v>0</v>
      </c>
      <c r="J70">
        <f t="shared" si="5"/>
        <v>14</v>
      </c>
      <c r="K70">
        <v>57.2</v>
      </c>
      <c r="L70">
        <v>55</v>
      </c>
      <c r="M70" s="3">
        <f>ROUND(I70/3,0)</f>
        <v>0</v>
      </c>
      <c r="N70" s="9">
        <f>IF(M70=0,40,MAX(95+10*LOG10(M70/$X$2),40))</f>
        <v>40</v>
      </c>
      <c r="O70" s="9">
        <f t="shared" si="6"/>
        <v>50</v>
      </c>
      <c r="P70" s="9">
        <f>L70/O70</f>
        <v>1.1000000000000001</v>
      </c>
      <c r="Q70">
        <v>0</v>
      </c>
      <c r="R70">
        <v>0</v>
      </c>
      <c r="AD70">
        <v>0</v>
      </c>
    </row>
    <row r="71" spans="1:30" x14ac:dyDescent="0.3">
      <c r="A71" s="1" t="s">
        <v>246</v>
      </c>
      <c r="B71" s="1" t="s">
        <v>67</v>
      </c>
      <c r="C71" s="1" t="s">
        <v>62</v>
      </c>
      <c r="D71" s="2">
        <v>19.280533635433219</v>
      </c>
      <c r="E71">
        <v>2</v>
      </c>
      <c r="F71" s="1" t="s">
        <v>295</v>
      </c>
      <c r="G71" s="1"/>
      <c r="H71">
        <v>6</v>
      </c>
      <c r="I71">
        <v>0</v>
      </c>
      <c r="J71">
        <f t="shared" si="5"/>
        <v>8</v>
      </c>
      <c r="K71">
        <v>66.2</v>
      </c>
      <c r="L71">
        <v>61.2</v>
      </c>
      <c r="M71" s="3">
        <f>ROUND(I71/3,0)</f>
        <v>0</v>
      </c>
      <c r="N71" s="9">
        <f>IF(M71=0,40,MAX(95+10*LOG10(M71/$X$2),40))</f>
        <v>40</v>
      </c>
      <c r="O71" s="9">
        <f t="shared" si="6"/>
        <v>50</v>
      </c>
      <c r="P71" s="9">
        <f>L71/O71</f>
        <v>1.224</v>
      </c>
      <c r="Q71">
        <v>10</v>
      </c>
      <c r="R71">
        <v>0</v>
      </c>
      <c r="AD71">
        <v>0</v>
      </c>
    </row>
    <row r="72" spans="1:30" x14ac:dyDescent="0.3">
      <c r="A72" s="1" t="s">
        <v>247</v>
      </c>
      <c r="B72" s="1" t="s">
        <v>56</v>
      </c>
      <c r="C72" s="1" t="s">
        <v>50</v>
      </c>
      <c r="D72" s="2">
        <v>14.34829267362945</v>
      </c>
      <c r="E72">
        <v>0</v>
      </c>
      <c r="F72" s="1" t="s">
        <v>320</v>
      </c>
      <c r="G72" s="1"/>
      <c r="H72">
        <v>14</v>
      </c>
      <c r="I72">
        <v>9.1999999999999993</v>
      </c>
      <c r="J72">
        <f t="shared" si="5"/>
        <v>14</v>
      </c>
      <c r="K72">
        <v>65.7</v>
      </c>
      <c r="L72">
        <v>61</v>
      </c>
      <c r="M72" s="3">
        <f>ROUND(I72/3,0)</f>
        <v>3</v>
      </c>
      <c r="N72" s="9">
        <f>IF(M72=0,40,MAX(95+10*LOG10(M72/$X$2),40))</f>
        <v>55.177287669604318</v>
      </c>
      <c r="O72" s="9">
        <f t="shared" si="6"/>
        <v>65.177287669604311</v>
      </c>
      <c r="P72" s="9">
        <f>L72/O72</f>
        <v>0.93590884464570312</v>
      </c>
      <c r="Q72">
        <v>0</v>
      </c>
      <c r="R72">
        <v>0</v>
      </c>
      <c r="AD72">
        <v>0</v>
      </c>
    </row>
    <row r="73" spans="1:30" x14ac:dyDescent="0.3">
      <c r="A73" s="1" t="s">
        <v>316</v>
      </c>
      <c r="B73" s="1" t="s">
        <v>67</v>
      </c>
      <c r="C73" s="1" t="s">
        <v>50</v>
      </c>
      <c r="D73" s="2">
        <v>30</v>
      </c>
      <c r="E73">
        <v>0</v>
      </c>
      <c r="F73" s="1" t="s">
        <v>320</v>
      </c>
      <c r="G73" s="1"/>
      <c r="H73">
        <v>8</v>
      </c>
      <c r="I73">
        <v>0</v>
      </c>
      <c r="J73">
        <f t="shared" si="5"/>
        <v>8</v>
      </c>
      <c r="K73">
        <v>50</v>
      </c>
      <c r="L73">
        <v>44</v>
      </c>
      <c r="M73" s="3">
        <f>ROUND(I73/3,0)</f>
        <v>0</v>
      </c>
      <c r="N73" s="9">
        <f>IF(M73=0,40,MAX(95+10*LOG10(M73/$X$2),40))</f>
        <v>40</v>
      </c>
      <c r="O73" s="9">
        <f t="shared" si="6"/>
        <v>50</v>
      </c>
      <c r="P73" s="9">
        <f>L73/O73</f>
        <v>0.88</v>
      </c>
      <c r="Q73">
        <v>0</v>
      </c>
      <c r="R73">
        <v>0</v>
      </c>
      <c r="AD73">
        <v>0</v>
      </c>
    </row>
    <row r="74" spans="1:30" x14ac:dyDescent="0.3">
      <c r="A74" s="1" t="s">
        <v>248</v>
      </c>
      <c r="B74" s="1" t="s">
        <v>81</v>
      </c>
      <c r="C74" s="1" t="s">
        <v>67</v>
      </c>
      <c r="D74" s="2">
        <v>14.80891306554398</v>
      </c>
      <c r="E74">
        <v>2</v>
      </c>
      <c r="F74" s="1" t="s">
        <v>295</v>
      </c>
      <c r="G74" s="1"/>
      <c r="H74">
        <v>14</v>
      </c>
      <c r="I74">
        <v>0</v>
      </c>
      <c r="J74">
        <f t="shared" si="5"/>
        <v>16</v>
      </c>
      <c r="K74">
        <v>67.2</v>
      </c>
      <c r="L74">
        <v>63.6</v>
      </c>
      <c r="M74" s="3">
        <f>ROUND(I74/3,0)</f>
        <v>0</v>
      </c>
      <c r="N74" s="9">
        <f>IF(M74=0,40,MAX(95+10*LOG10(M74/$X$2),40))</f>
        <v>40</v>
      </c>
      <c r="O74" s="9">
        <f t="shared" si="6"/>
        <v>50</v>
      </c>
      <c r="P74" s="9">
        <f>L74/O74</f>
        <v>1.272</v>
      </c>
      <c r="Q74">
        <v>7</v>
      </c>
      <c r="R74">
        <v>0</v>
      </c>
      <c r="AD74">
        <v>0</v>
      </c>
    </row>
    <row r="75" spans="1:30" x14ac:dyDescent="0.3">
      <c r="A75" s="1" t="s">
        <v>249</v>
      </c>
      <c r="B75" s="1" t="s">
        <v>72</v>
      </c>
      <c r="C75" s="1" t="s">
        <v>56</v>
      </c>
      <c r="D75" s="2">
        <v>35.65957209659318</v>
      </c>
      <c r="E75">
        <v>0</v>
      </c>
      <c r="F75" s="1" t="s">
        <v>320</v>
      </c>
      <c r="G75" s="1"/>
      <c r="H75">
        <v>10</v>
      </c>
      <c r="I75">
        <v>11.5</v>
      </c>
      <c r="J75">
        <f t="shared" si="5"/>
        <v>10</v>
      </c>
      <c r="K75">
        <v>68.7</v>
      </c>
      <c r="L75">
        <v>68</v>
      </c>
      <c r="M75" s="3">
        <f>ROUND(I75/3,0)</f>
        <v>4</v>
      </c>
      <c r="N75" s="9">
        <f>IF(M75=0,40,MAX(95+10*LOG10(M75/$X$2),40))</f>
        <v>56.426675035687317</v>
      </c>
      <c r="O75" s="9">
        <f t="shared" si="6"/>
        <v>66.42667503568731</v>
      </c>
      <c r="P75" s="9">
        <f>L75/O75</f>
        <v>1.0236851379881264</v>
      </c>
      <c r="Q75">
        <v>0</v>
      </c>
      <c r="R75">
        <v>0</v>
      </c>
      <c r="AD75">
        <v>0</v>
      </c>
    </row>
    <row r="76" spans="1:30" x14ac:dyDescent="0.3">
      <c r="A76" s="1" t="s">
        <v>250</v>
      </c>
      <c r="B76" s="1" t="s">
        <v>81</v>
      </c>
      <c r="C76" s="1" t="s">
        <v>56</v>
      </c>
      <c r="D76" s="2">
        <v>29.57967574203899</v>
      </c>
      <c r="E76">
        <v>0</v>
      </c>
      <c r="F76" s="1" t="s">
        <v>320</v>
      </c>
      <c r="G76" s="1"/>
      <c r="H76">
        <v>4</v>
      </c>
      <c r="I76">
        <v>11.5</v>
      </c>
      <c r="J76">
        <f t="shared" si="5"/>
        <v>4</v>
      </c>
      <c r="K76">
        <v>55.6</v>
      </c>
      <c r="L76">
        <v>50.6</v>
      </c>
      <c r="M76" s="3">
        <f>ROUND(I76/3,0)</f>
        <v>4</v>
      </c>
      <c r="N76" s="9">
        <f>IF(M76=0,40,MAX(95+10*LOG10(M76/$X$2),40))</f>
        <v>56.426675035687317</v>
      </c>
      <c r="O76" s="9">
        <f t="shared" si="6"/>
        <v>66.42667503568731</v>
      </c>
      <c r="P76" s="9">
        <f>L76/O76</f>
        <v>0.76174217620881179</v>
      </c>
      <c r="Q76">
        <v>0</v>
      </c>
      <c r="R76">
        <v>0</v>
      </c>
      <c r="AD76">
        <v>0</v>
      </c>
    </row>
    <row r="77" spans="1:30" x14ac:dyDescent="0.3">
      <c r="A77" s="1" t="s">
        <v>251</v>
      </c>
      <c r="B77" s="1" t="s">
        <v>217</v>
      </c>
      <c r="C77" s="1" t="s">
        <v>72</v>
      </c>
      <c r="D77" s="2">
        <v>9</v>
      </c>
      <c r="E77">
        <v>2</v>
      </c>
      <c r="F77">
        <v>0</v>
      </c>
      <c r="H77">
        <v>11</v>
      </c>
      <c r="I77">
        <v>11</v>
      </c>
      <c r="J77">
        <f t="shared" si="5"/>
        <v>13</v>
      </c>
      <c r="K77">
        <v>64.8</v>
      </c>
      <c r="L77">
        <v>61.2</v>
      </c>
      <c r="M77" s="3">
        <f>ROUND(I77/3,0)</f>
        <v>4</v>
      </c>
      <c r="N77" s="9">
        <f>IF(M77=0,40,MAX(95+10*LOG10(M77/$X$2),40))</f>
        <v>56.426675035687317</v>
      </c>
      <c r="O77" s="9">
        <f t="shared" si="6"/>
        <v>66.42667503568731</v>
      </c>
      <c r="P77" s="9">
        <f>L77/O77</f>
        <v>0.92131662418931382</v>
      </c>
      <c r="Q77">
        <v>9</v>
      </c>
      <c r="R77">
        <v>0</v>
      </c>
      <c r="AD77">
        <v>0</v>
      </c>
    </row>
    <row r="78" spans="1:30" x14ac:dyDescent="0.3">
      <c r="A78" s="1" t="s">
        <v>252</v>
      </c>
      <c r="B78" s="1" t="s">
        <v>77</v>
      </c>
      <c r="C78" s="1" t="s">
        <v>72</v>
      </c>
      <c r="D78" s="2">
        <v>17.687467340063542</v>
      </c>
      <c r="E78">
        <v>2</v>
      </c>
      <c r="F78" s="1" t="s">
        <v>320</v>
      </c>
      <c r="G78" s="1"/>
      <c r="H78">
        <v>17</v>
      </c>
      <c r="I78">
        <v>4</v>
      </c>
      <c r="J78">
        <f t="shared" si="5"/>
        <v>19</v>
      </c>
      <c r="K78">
        <v>69</v>
      </c>
      <c r="L78">
        <v>63</v>
      </c>
      <c r="M78" s="3">
        <f>ROUND(I77/3,0)</f>
        <v>4</v>
      </c>
      <c r="N78" s="9">
        <f>IF(M78=0,40,MAX(95+10*LOG10(M78/$X$2),40))</f>
        <v>56.426675035687317</v>
      </c>
      <c r="O78" s="9">
        <f t="shared" si="6"/>
        <v>66.42667503568731</v>
      </c>
      <c r="P78" s="9">
        <f>L78/O78</f>
        <v>0.94841417195958777</v>
      </c>
      <c r="Q78">
        <v>17</v>
      </c>
      <c r="R78">
        <v>0</v>
      </c>
      <c r="AD78">
        <v>0</v>
      </c>
    </row>
    <row r="79" spans="1:30" x14ac:dyDescent="0.3">
      <c r="A79" s="1" t="s">
        <v>253</v>
      </c>
      <c r="B79" s="1" t="s">
        <v>91</v>
      </c>
      <c r="C79" s="1" t="s">
        <v>217</v>
      </c>
      <c r="D79" s="2">
        <v>32</v>
      </c>
      <c r="E79">
        <v>2</v>
      </c>
      <c r="F79">
        <v>0</v>
      </c>
      <c r="G79">
        <v>36</v>
      </c>
      <c r="H79">
        <v>11</v>
      </c>
      <c r="I79">
        <v>0.5</v>
      </c>
      <c r="J79" s="1">
        <f>(G79/18)+H79</f>
        <v>13</v>
      </c>
      <c r="K79">
        <v>64.8</v>
      </c>
      <c r="L79">
        <v>61.2</v>
      </c>
      <c r="M79" s="3">
        <f>ROUND(I79/3,0)</f>
        <v>0</v>
      </c>
      <c r="N79" s="9">
        <f>IF(M79=0,40,MAX(95+10*LOG10(M79/$X$2),40))</f>
        <v>40</v>
      </c>
      <c r="O79" s="9">
        <f t="shared" si="6"/>
        <v>50</v>
      </c>
      <c r="P79" s="9">
        <f>L79/O79</f>
        <v>1.224</v>
      </c>
      <c r="Q79">
        <v>9</v>
      </c>
      <c r="R79">
        <v>0</v>
      </c>
      <c r="AD79">
        <v>0</v>
      </c>
    </row>
    <row r="80" spans="1:30" x14ac:dyDescent="0.3">
      <c r="A80" s="1" t="s">
        <v>254</v>
      </c>
      <c r="B80" s="1" t="s">
        <v>77</v>
      </c>
      <c r="C80" s="1" t="s">
        <v>81</v>
      </c>
      <c r="D80" s="2">
        <v>11.419910378654251</v>
      </c>
      <c r="E80">
        <v>2</v>
      </c>
      <c r="F80" s="1" t="s">
        <v>295</v>
      </c>
      <c r="G80" s="1"/>
      <c r="H80">
        <v>2</v>
      </c>
      <c r="I80">
        <v>4</v>
      </c>
      <c r="J80">
        <f t="shared" si="5"/>
        <v>4</v>
      </c>
      <c r="K80">
        <v>55</v>
      </c>
      <c r="L80">
        <v>50.8</v>
      </c>
      <c r="M80" s="3">
        <f>ROUND(I78/3,0)</f>
        <v>1</v>
      </c>
      <c r="N80" s="9">
        <f>IF(M80=0,40,MAX(95+10*LOG10(M80/$X$2),40))</f>
        <v>50.406075122407692</v>
      </c>
      <c r="O80" s="9">
        <f t="shared" si="6"/>
        <v>60.406075122407692</v>
      </c>
      <c r="P80" s="9">
        <f>L80/O80</f>
        <v>0.84097501612309999</v>
      </c>
      <c r="Q80">
        <v>14</v>
      </c>
      <c r="R80">
        <v>0</v>
      </c>
      <c r="AD80">
        <v>0</v>
      </c>
    </row>
    <row r="81" spans="1:30" x14ac:dyDescent="0.3">
      <c r="A81" s="1" t="s">
        <v>255</v>
      </c>
      <c r="B81" s="1" t="s">
        <v>86</v>
      </c>
      <c r="C81" s="1" t="s">
        <v>77</v>
      </c>
      <c r="D81" s="2">
        <v>11.9039000374342</v>
      </c>
      <c r="E81">
        <v>1</v>
      </c>
      <c r="F81" s="1" t="s">
        <v>320</v>
      </c>
      <c r="G81" s="1"/>
      <c r="H81">
        <v>18</v>
      </c>
      <c r="I81">
        <v>1</v>
      </c>
      <c r="J81">
        <f>E81+H81</f>
        <v>19</v>
      </c>
      <c r="K81">
        <v>54.5</v>
      </c>
      <c r="L81">
        <v>49.5</v>
      </c>
      <c r="M81" s="3">
        <f>ROUND(I79/3,0)</f>
        <v>0</v>
      </c>
      <c r="N81" s="9">
        <f>IF(M81=0,40,MAX(95+10*LOG10(M81/$X$2),40))</f>
        <v>40</v>
      </c>
      <c r="O81" s="9">
        <f t="shared" si="6"/>
        <v>50</v>
      </c>
      <c r="P81" s="9">
        <f>L81/O81</f>
        <v>0.99</v>
      </c>
      <c r="Q81">
        <v>18</v>
      </c>
      <c r="R81">
        <v>0</v>
      </c>
      <c r="AD81">
        <v>0</v>
      </c>
    </row>
    <row r="82" spans="1:30" x14ac:dyDescent="0.3">
      <c r="A82" s="1" t="s">
        <v>256</v>
      </c>
      <c r="B82" s="1" t="s">
        <v>91</v>
      </c>
      <c r="C82" s="1" t="s">
        <v>86</v>
      </c>
      <c r="D82" s="2">
        <v>19.441036896411159</v>
      </c>
      <c r="E82">
        <v>1</v>
      </c>
      <c r="F82" s="1" t="s">
        <v>320</v>
      </c>
      <c r="G82" s="1"/>
      <c r="H82">
        <v>13</v>
      </c>
      <c r="I82">
        <v>5.9</v>
      </c>
      <c r="J82">
        <f t="shared" si="5"/>
        <v>14</v>
      </c>
      <c r="K82">
        <v>51.5</v>
      </c>
      <c r="L82">
        <v>48.2</v>
      </c>
      <c r="M82" s="3">
        <f>ROUND(I80/3,0)</f>
        <v>1</v>
      </c>
      <c r="N82" s="9">
        <f>IF(M82=0,40,MAX(95+10*LOG10(M82/$X$2),40))</f>
        <v>50.406075122407692</v>
      </c>
      <c r="O82" s="9">
        <f t="shared" si="6"/>
        <v>60.406075122407692</v>
      </c>
      <c r="P82" s="9">
        <f>L82/O82</f>
        <v>0.79793298773884691</v>
      </c>
      <c r="Q82">
        <v>2</v>
      </c>
      <c r="R82">
        <v>0</v>
      </c>
      <c r="AD82">
        <v>0</v>
      </c>
    </row>
    <row r="83" spans="1:30" x14ac:dyDescent="0.3">
      <c r="A83" s="1" t="s">
        <v>257</v>
      </c>
      <c r="B83" s="1" t="s">
        <v>135</v>
      </c>
      <c r="C83" s="1" t="s">
        <v>86</v>
      </c>
      <c r="D83" s="2">
        <v>39.500777900897617</v>
      </c>
      <c r="E83">
        <v>2</v>
      </c>
      <c r="F83" s="1" t="s">
        <v>320</v>
      </c>
      <c r="G83" s="1"/>
      <c r="H83">
        <v>7</v>
      </c>
      <c r="I83">
        <v>1.6</v>
      </c>
      <c r="J83">
        <f t="shared" si="5"/>
        <v>9</v>
      </c>
      <c r="K83">
        <v>57.8</v>
      </c>
      <c r="L83">
        <v>50</v>
      </c>
      <c r="M83" s="3">
        <f>ROUND(I81/3,0)</f>
        <v>0</v>
      </c>
      <c r="N83" s="9">
        <f>IF(M83=0,40,MAX(95+10*LOG10(M83/$X$2),40))</f>
        <v>40</v>
      </c>
      <c r="O83" s="9">
        <f t="shared" si="6"/>
        <v>50</v>
      </c>
      <c r="P83" s="9">
        <f>L83/O83</f>
        <v>1</v>
      </c>
      <c r="Q83">
        <v>0</v>
      </c>
      <c r="R83">
        <v>0</v>
      </c>
      <c r="AD83">
        <v>0</v>
      </c>
    </row>
    <row r="84" spans="1:30" x14ac:dyDescent="0.3">
      <c r="A84" s="1" t="s">
        <v>258</v>
      </c>
      <c r="B84" s="1" t="s">
        <v>155</v>
      </c>
      <c r="C84" s="1" t="s">
        <v>86</v>
      </c>
      <c r="D84" s="2">
        <v>28.061234215104989</v>
      </c>
      <c r="E84">
        <v>2</v>
      </c>
      <c r="F84" s="1" t="s">
        <v>320</v>
      </c>
      <c r="G84" s="1" t="s">
        <v>91</v>
      </c>
      <c r="H84">
        <v>10</v>
      </c>
      <c r="I84">
        <v>0</v>
      </c>
      <c r="J84" s="1">
        <f>(G84/18)+H84</f>
        <v>11</v>
      </c>
      <c r="K84">
        <v>46.4</v>
      </c>
      <c r="L84">
        <v>43.6</v>
      </c>
      <c r="M84" s="3">
        <f>ROUND(I82/3,0)</f>
        <v>2</v>
      </c>
      <c r="N84" s="9">
        <f>IF(M84=0,40,MAX(95+10*LOG10(M84/$X$2),40))</f>
        <v>53.416375079047505</v>
      </c>
      <c r="O84" s="9">
        <f t="shared" si="6"/>
        <v>63.416375079047505</v>
      </c>
      <c r="P84" s="9">
        <f>L84/O84</f>
        <v>0.68751958694664106</v>
      </c>
      <c r="Q84">
        <v>2</v>
      </c>
      <c r="R84">
        <v>0</v>
      </c>
      <c r="AD84">
        <v>0</v>
      </c>
    </row>
    <row r="85" spans="1:30" x14ac:dyDescent="0.3">
      <c r="A85" s="1" t="s">
        <v>259</v>
      </c>
      <c r="B85" s="1" t="s">
        <v>96</v>
      </c>
      <c r="C85" s="1" t="s">
        <v>91</v>
      </c>
      <c r="D85" s="2">
        <v>73</v>
      </c>
      <c r="E85">
        <v>0</v>
      </c>
      <c r="F85" s="1" t="s">
        <v>320</v>
      </c>
      <c r="G85" s="1"/>
      <c r="H85">
        <v>6</v>
      </c>
      <c r="I85">
        <v>9.5</v>
      </c>
      <c r="J85">
        <f t="shared" si="5"/>
        <v>6</v>
      </c>
      <c r="K85">
        <v>63.8</v>
      </c>
      <c r="L85">
        <v>58.7</v>
      </c>
      <c r="M85" s="3">
        <f>ROUND(I83/3,0)</f>
        <v>1</v>
      </c>
      <c r="N85" s="9">
        <f>IF(M85=0,40,MAX(95+10*LOG10(M85/$X$2),40))</f>
        <v>50.406075122407692</v>
      </c>
      <c r="O85" s="9">
        <f t="shared" si="6"/>
        <v>60.406075122407692</v>
      </c>
      <c r="P85" s="9">
        <f>L85/O85</f>
        <v>0.97175656390602305</v>
      </c>
      <c r="Q85">
        <v>0</v>
      </c>
      <c r="R85">
        <v>0</v>
      </c>
      <c r="AD85">
        <v>0</v>
      </c>
    </row>
    <row r="86" spans="1:30" x14ac:dyDescent="0.3">
      <c r="A86" s="1" t="s">
        <v>260</v>
      </c>
      <c r="B86" s="1" t="s">
        <v>131</v>
      </c>
      <c r="C86" s="1" t="s">
        <v>91</v>
      </c>
      <c r="D86" s="2">
        <v>15.073675496176911</v>
      </c>
      <c r="E86">
        <v>2</v>
      </c>
      <c r="F86" s="1" t="s">
        <v>320</v>
      </c>
      <c r="G86" s="1">
        <v>36</v>
      </c>
      <c r="H86">
        <v>2</v>
      </c>
      <c r="I86">
        <v>0</v>
      </c>
      <c r="J86" s="1">
        <f>(G86/18)+H86</f>
        <v>4</v>
      </c>
      <c r="K86">
        <v>63.9</v>
      </c>
      <c r="L86">
        <v>60.5</v>
      </c>
      <c r="M86" s="3">
        <f>ROUND(I84/3,0)</f>
        <v>0</v>
      </c>
      <c r="N86" s="9">
        <f>IF(M86=0,40,MAX(95+10*LOG10(M86/$X$2),40))</f>
        <v>40</v>
      </c>
      <c r="O86" s="9">
        <f t="shared" si="6"/>
        <v>50</v>
      </c>
      <c r="P86" s="9">
        <f>L86/O86</f>
        <v>1.21</v>
      </c>
      <c r="Q86">
        <v>4</v>
      </c>
      <c r="R86">
        <v>0</v>
      </c>
      <c r="AD86">
        <v>0</v>
      </c>
    </row>
    <row r="87" spans="1:30" x14ac:dyDescent="0.3">
      <c r="A87" s="1" t="s">
        <v>261</v>
      </c>
      <c r="B87" s="1" t="s">
        <v>101</v>
      </c>
      <c r="C87" s="1" t="s">
        <v>96</v>
      </c>
      <c r="D87" s="2">
        <v>27.94847030040475</v>
      </c>
      <c r="E87">
        <v>0</v>
      </c>
      <c r="F87" s="1" t="s">
        <v>320</v>
      </c>
      <c r="G87" s="1">
        <v>0</v>
      </c>
      <c r="H87">
        <v>2</v>
      </c>
      <c r="I87">
        <v>0</v>
      </c>
      <c r="J87">
        <f t="shared" si="5"/>
        <v>2</v>
      </c>
      <c r="K87">
        <v>53</v>
      </c>
      <c r="L87">
        <v>48.9</v>
      </c>
      <c r="M87" s="3">
        <f>ROUND(I85/3,0)</f>
        <v>3</v>
      </c>
      <c r="N87" s="9">
        <f>IF(M87=0,40,MAX(95+10*LOG10(M87/$X$2),40))</f>
        <v>55.177287669604318</v>
      </c>
      <c r="O87" s="9">
        <f t="shared" si="6"/>
        <v>65.177287669604311</v>
      </c>
      <c r="P87" s="9">
        <f>L87/O87</f>
        <v>0.75026135251106363</v>
      </c>
      <c r="Q87">
        <v>3</v>
      </c>
      <c r="R87">
        <v>0</v>
      </c>
      <c r="AD87">
        <v>0</v>
      </c>
    </row>
    <row r="88" spans="1:30" x14ac:dyDescent="0.3">
      <c r="A88" s="1" t="s">
        <v>262</v>
      </c>
      <c r="B88" s="1" t="s">
        <v>106</v>
      </c>
      <c r="C88" s="1" t="s">
        <v>96</v>
      </c>
      <c r="D88" s="2">
        <v>37.639064941173807</v>
      </c>
      <c r="E88">
        <v>0</v>
      </c>
      <c r="F88" s="1" t="s">
        <v>320</v>
      </c>
      <c r="G88" s="1"/>
      <c r="H88">
        <v>3</v>
      </c>
      <c r="I88">
        <v>9.5</v>
      </c>
      <c r="J88">
        <f t="shared" si="5"/>
        <v>3</v>
      </c>
      <c r="K88">
        <v>55</v>
      </c>
      <c r="L88">
        <v>53.1</v>
      </c>
      <c r="M88" s="3">
        <f>ROUND(I86/3,0)</f>
        <v>0</v>
      </c>
      <c r="N88" s="9">
        <f>IF(M88=0,40,MAX(95+10*LOG10(M88/$X$2),40))</f>
        <v>40</v>
      </c>
      <c r="O88" s="9">
        <f t="shared" si="6"/>
        <v>50</v>
      </c>
      <c r="P88" s="9">
        <f>L88/O88</f>
        <v>1.0620000000000001</v>
      </c>
      <c r="Q88">
        <v>0</v>
      </c>
      <c r="R88">
        <v>0</v>
      </c>
      <c r="AD88">
        <v>0</v>
      </c>
    </row>
    <row r="89" spans="1:30" x14ac:dyDescent="0.3">
      <c r="A89" s="1" t="s">
        <v>263</v>
      </c>
      <c r="B89" s="1" t="s">
        <v>126</v>
      </c>
      <c r="C89" s="1" t="s">
        <v>131</v>
      </c>
      <c r="D89" s="2">
        <v>26.206057207203251</v>
      </c>
      <c r="E89">
        <v>2</v>
      </c>
      <c r="F89" s="1" t="s">
        <v>320</v>
      </c>
      <c r="G89" s="1">
        <v>36</v>
      </c>
      <c r="H89">
        <v>5</v>
      </c>
      <c r="I89">
        <v>0</v>
      </c>
      <c r="J89" s="1">
        <f>(G89/18)+H89</f>
        <v>7</v>
      </c>
      <c r="K89">
        <v>64.599999999999994</v>
      </c>
      <c r="L89">
        <v>60</v>
      </c>
      <c r="M89" s="3">
        <f>ROUND(I87/3,0)</f>
        <v>0</v>
      </c>
      <c r="N89" s="9">
        <f>IF(M89=0,40,MAX(95+10*LOG10(M89/$X$2),40))</f>
        <v>40</v>
      </c>
      <c r="O89" s="9">
        <f t="shared" si="6"/>
        <v>50</v>
      </c>
      <c r="P89" s="9">
        <f>L89/O89</f>
        <v>1.2</v>
      </c>
      <c r="Q89">
        <v>9</v>
      </c>
      <c r="R89">
        <v>0</v>
      </c>
      <c r="AD89">
        <v>0</v>
      </c>
    </row>
    <row r="90" spans="1:30" x14ac:dyDescent="0.3">
      <c r="A90" s="1" t="s">
        <v>264</v>
      </c>
      <c r="B90" s="1" t="s">
        <v>135</v>
      </c>
      <c r="C90" s="1" t="s">
        <v>131</v>
      </c>
      <c r="D90" s="2">
        <v>16.080088001591839</v>
      </c>
      <c r="E90">
        <v>0</v>
      </c>
      <c r="F90" s="1" t="s">
        <v>320</v>
      </c>
      <c r="G90" s="1"/>
      <c r="H90">
        <v>2</v>
      </c>
      <c r="I90">
        <v>7.4</v>
      </c>
      <c r="J90">
        <f t="shared" si="5"/>
        <v>2</v>
      </c>
      <c r="K90">
        <v>54.7</v>
      </c>
      <c r="L90">
        <v>48.3</v>
      </c>
      <c r="M90" s="3">
        <f>ROUND(I88/3,0)</f>
        <v>3</v>
      </c>
      <c r="N90" s="9">
        <f>IF(M90=0,40,MAX(95+10*LOG10(M90/$X$2),40))</f>
        <v>55.177287669604318</v>
      </c>
      <c r="O90" s="9">
        <f t="shared" si="6"/>
        <v>65.177287669604311</v>
      </c>
      <c r="P90" s="9">
        <f>L90/O90</f>
        <v>0.74105569174405661</v>
      </c>
      <c r="Q90">
        <v>0</v>
      </c>
      <c r="R90">
        <v>0</v>
      </c>
      <c r="AD90">
        <v>0</v>
      </c>
    </row>
    <row r="91" spans="1:30" x14ac:dyDescent="0.3">
      <c r="A91" s="1" t="s">
        <v>265</v>
      </c>
      <c r="B91" s="1" t="s">
        <v>145</v>
      </c>
      <c r="C91" s="1" t="s">
        <v>135</v>
      </c>
      <c r="D91" s="2">
        <v>16.043150600481741</v>
      </c>
      <c r="E91">
        <v>0</v>
      </c>
      <c r="F91" s="1" t="s">
        <v>320</v>
      </c>
      <c r="G91" s="1"/>
      <c r="H91">
        <v>9</v>
      </c>
      <c r="I91">
        <v>0.4</v>
      </c>
      <c r="J91">
        <f t="shared" si="5"/>
        <v>9</v>
      </c>
      <c r="K91">
        <v>65.8</v>
      </c>
      <c r="L91">
        <v>61.1</v>
      </c>
      <c r="M91" s="3">
        <f>ROUND(I89/3,0)</f>
        <v>0</v>
      </c>
      <c r="N91" s="9">
        <f>IF(M91=0,40,MAX(95+10*LOG10(M91/$X$2),40))</f>
        <v>40</v>
      </c>
      <c r="O91" s="9">
        <f t="shared" si="6"/>
        <v>50</v>
      </c>
      <c r="P91" s="9">
        <f>L91/O91</f>
        <v>1.222</v>
      </c>
      <c r="Q91">
        <v>0</v>
      </c>
      <c r="R91">
        <v>0</v>
      </c>
      <c r="AD91">
        <v>0</v>
      </c>
    </row>
    <row r="92" spans="1:30" x14ac:dyDescent="0.3">
      <c r="A92" s="1" t="s">
        <v>266</v>
      </c>
      <c r="B92" s="1" t="s">
        <v>101</v>
      </c>
      <c r="C92" s="1" t="s">
        <v>126</v>
      </c>
      <c r="D92" s="2">
        <v>17</v>
      </c>
      <c r="E92">
        <v>2</v>
      </c>
      <c r="F92" s="1" t="s">
        <v>320</v>
      </c>
      <c r="G92" s="1">
        <v>36</v>
      </c>
      <c r="H92">
        <v>7</v>
      </c>
      <c r="I92">
        <v>0</v>
      </c>
      <c r="J92" s="1">
        <f>(G92/18)+H92</f>
        <v>9</v>
      </c>
      <c r="K92">
        <v>58.6</v>
      </c>
      <c r="L92">
        <v>52.2</v>
      </c>
      <c r="M92" s="3">
        <f>ROUND(I90/3,0)</f>
        <v>2</v>
      </c>
      <c r="N92" s="9">
        <f>IF(M92=0,40,MAX(95+10*LOG10(M92/$X$2),40))</f>
        <v>53.416375079047505</v>
      </c>
      <c r="O92" s="9">
        <f t="shared" si="6"/>
        <v>63.416375079047505</v>
      </c>
      <c r="P92" s="9">
        <f>L92/O92</f>
        <v>0.82313124859207942</v>
      </c>
      <c r="Q92">
        <v>18</v>
      </c>
      <c r="R92">
        <v>0</v>
      </c>
      <c r="AD92">
        <v>0</v>
      </c>
    </row>
    <row r="93" spans="1:30" x14ac:dyDescent="0.3">
      <c r="A93" s="1" t="s">
        <v>267</v>
      </c>
      <c r="B93" s="1" t="s">
        <v>121</v>
      </c>
      <c r="C93" s="1" t="s">
        <v>126</v>
      </c>
      <c r="D93" s="2">
        <v>23</v>
      </c>
      <c r="E93">
        <v>0</v>
      </c>
      <c r="F93" s="1" t="s">
        <v>320</v>
      </c>
      <c r="G93" s="1"/>
      <c r="H93">
        <v>2</v>
      </c>
      <c r="I93">
        <v>7.4</v>
      </c>
      <c r="J93">
        <f t="shared" si="5"/>
        <v>2</v>
      </c>
      <c r="K93">
        <v>54.7</v>
      </c>
      <c r="L93">
        <v>43.7</v>
      </c>
      <c r="M93" s="3">
        <f>ROUND(I91/3,0)</f>
        <v>0</v>
      </c>
      <c r="N93" s="9">
        <f>IF(M93=0,40,MAX(95+10*LOG10(M93/$X$2),40))</f>
        <v>40</v>
      </c>
      <c r="O93" s="9">
        <f t="shared" si="6"/>
        <v>50</v>
      </c>
      <c r="P93" s="9">
        <f>L93/O93</f>
        <v>0.87400000000000011</v>
      </c>
      <c r="Q93">
        <v>1</v>
      </c>
      <c r="R93">
        <v>0</v>
      </c>
      <c r="AD93">
        <v>0</v>
      </c>
    </row>
    <row r="94" spans="1:30" x14ac:dyDescent="0.3">
      <c r="A94" s="1" t="s">
        <v>268</v>
      </c>
      <c r="B94" s="1" t="s">
        <v>101</v>
      </c>
      <c r="C94" s="1" t="s">
        <v>121</v>
      </c>
      <c r="D94" s="2">
        <v>12.69730718365612</v>
      </c>
      <c r="E94">
        <v>2</v>
      </c>
      <c r="F94" s="1" t="s">
        <v>320</v>
      </c>
      <c r="G94" s="1">
        <v>36</v>
      </c>
      <c r="H94">
        <v>2</v>
      </c>
      <c r="I94">
        <v>17.399999999999999</v>
      </c>
      <c r="J94" s="1">
        <f>(G94/18)+H94</f>
        <v>4</v>
      </c>
      <c r="K94">
        <v>61.4</v>
      </c>
      <c r="L94">
        <v>58.2</v>
      </c>
      <c r="M94" s="3">
        <f>ROUND(I92/3,0)</f>
        <v>0</v>
      </c>
      <c r="N94" s="9">
        <f>IF(M94=0,40,MAX(95+10*LOG10(M94/$X$2),40))</f>
        <v>40</v>
      </c>
      <c r="O94" s="9">
        <f t="shared" si="6"/>
        <v>50</v>
      </c>
      <c r="P94" s="9">
        <f>L94/O94</f>
        <v>1.1640000000000001</v>
      </c>
      <c r="Q94">
        <v>4</v>
      </c>
      <c r="R94">
        <v>0</v>
      </c>
      <c r="AD94">
        <v>0</v>
      </c>
    </row>
    <row r="95" spans="1:30" x14ac:dyDescent="0.3">
      <c r="A95" s="1" t="s">
        <v>269</v>
      </c>
      <c r="B95" s="1" t="s">
        <v>111</v>
      </c>
      <c r="C95" s="1" t="s">
        <v>121</v>
      </c>
      <c r="D95" s="2">
        <v>43.035431876602253</v>
      </c>
      <c r="E95">
        <v>0</v>
      </c>
      <c r="F95" s="1" t="s">
        <v>320</v>
      </c>
      <c r="G95" s="1">
        <v>0</v>
      </c>
      <c r="H95">
        <v>2</v>
      </c>
      <c r="I95">
        <v>17.399999999999999</v>
      </c>
      <c r="J95" s="1">
        <f>(G95/18)+H95</f>
        <v>2</v>
      </c>
      <c r="K95">
        <v>52.8</v>
      </c>
      <c r="L95">
        <v>52.7</v>
      </c>
      <c r="M95" s="3">
        <f>ROUND(I93/3,0)</f>
        <v>2</v>
      </c>
      <c r="N95" s="9">
        <f>IF(M95=0,40,MAX(95+10*LOG10(M95/$X$2),40))</f>
        <v>53.416375079047505</v>
      </c>
      <c r="O95" s="9">
        <f t="shared" si="6"/>
        <v>63.416375079047505</v>
      </c>
      <c r="P95" s="9">
        <f>L95/O95</f>
        <v>0.83101564752495372</v>
      </c>
      <c r="Q95">
        <v>0</v>
      </c>
      <c r="R95">
        <v>0</v>
      </c>
      <c r="AD95">
        <v>0</v>
      </c>
    </row>
    <row r="96" spans="1:30" x14ac:dyDescent="0.3">
      <c r="A96" s="1" t="s">
        <v>270</v>
      </c>
      <c r="B96" s="1" t="s">
        <v>116</v>
      </c>
      <c r="C96" s="1" t="s">
        <v>121</v>
      </c>
      <c r="D96" s="2">
        <v>40.85792317403267</v>
      </c>
      <c r="E96">
        <v>0</v>
      </c>
      <c r="F96" s="1" t="s">
        <v>320</v>
      </c>
      <c r="G96" s="1"/>
      <c r="H96">
        <v>2</v>
      </c>
      <c r="I96">
        <v>17.7</v>
      </c>
      <c r="J96">
        <f t="shared" si="5"/>
        <v>2</v>
      </c>
      <c r="K96">
        <v>54.4</v>
      </c>
      <c r="L96">
        <v>28.8</v>
      </c>
      <c r="M96" s="3">
        <f>ROUND(I94/3,0)</f>
        <v>6</v>
      </c>
      <c r="N96" s="9">
        <f>IF(M96=0,40,MAX(95+10*LOG10(M96/$X$2),40))</f>
        <v>58.187587626244131</v>
      </c>
      <c r="O96" s="9">
        <f t="shared" si="6"/>
        <v>68.187587626244124</v>
      </c>
      <c r="P96" s="9">
        <f>L96/O96</f>
        <v>0.42236426016214451</v>
      </c>
      <c r="Q96">
        <v>2534</v>
      </c>
      <c r="R96">
        <v>0</v>
      </c>
      <c r="AD96">
        <v>0</v>
      </c>
    </row>
    <row r="97" spans="1:30" x14ac:dyDescent="0.3">
      <c r="A97" s="1" t="s">
        <v>271</v>
      </c>
      <c r="B97" s="1" t="s">
        <v>145</v>
      </c>
      <c r="C97" s="1" t="s">
        <v>121</v>
      </c>
      <c r="D97" s="2">
        <v>33</v>
      </c>
      <c r="E97">
        <v>2</v>
      </c>
      <c r="F97" s="1" t="s">
        <v>320</v>
      </c>
      <c r="G97" s="1"/>
      <c r="H97">
        <v>4</v>
      </c>
      <c r="I97">
        <v>5.5</v>
      </c>
      <c r="J97">
        <f t="shared" si="5"/>
        <v>6</v>
      </c>
      <c r="K97">
        <v>59.1</v>
      </c>
      <c r="L97">
        <v>58.1</v>
      </c>
      <c r="M97" s="3">
        <f>ROUND(I95/3,0)</f>
        <v>6</v>
      </c>
      <c r="N97" s="9">
        <f>IF(M97=0,40,MAX(95+10*LOG10(M97/$X$2),40))</f>
        <v>58.187587626244131</v>
      </c>
      <c r="O97" s="9">
        <f t="shared" si="6"/>
        <v>68.187587626244124</v>
      </c>
      <c r="P97" s="9">
        <f>L97/O97</f>
        <v>0.85206123317432625</v>
      </c>
      <c r="Q97">
        <v>2</v>
      </c>
      <c r="R97">
        <v>0</v>
      </c>
      <c r="AD97">
        <v>0</v>
      </c>
    </row>
    <row r="98" spans="1:30" x14ac:dyDescent="0.3">
      <c r="A98" s="1" t="s">
        <v>272</v>
      </c>
      <c r="B98" s="1" t="s">
        <v>106</v>
      </c>
      <c r="C98" s="1" t="s">
        <v>101</v>
      </c>
      <c r="D98" s="2">
        <v>31.638521390268441</v>
      </c>
      <c r="E98">
        <v>2</v>
      </c>
      <c r="F98" s="1" t="s">
        <v>320</v>
      </c>
      <c r="G98" s="1">
        <v>54</v>
      </c>
      <c r="H98">
        <v>5</v>
      </c>
      <c r="I98">
        <v>41.1</v>
      </c>
      <c r="J98" s="1">
        <f>(G98/18)+H98</f>
        <v>8</v>
      </c>
      <c r="K98">
        <v>66.5</v>
      </c>
      <c r="L98">
        <v>61.5</v>
      </c>
      <c r="M98" s="3">
        <f>ROUND(I96/3,0)</f>
        <v>6</v>
      </c>
      <c r="N98" s="9">
        <f>IF(M98=0,40,MAX(95+10*LOG10(M98/$X$2),40))</f>
        <v>58.187587626244131</v>
      </c>
      <c r="O98" s="9">
        <f t="shared" si="6"/>
        <v>68.187587626244124</v>
      </c>
      <c r="P98" s="9">
        <f>L98/O98</f>
        <v>0.9019236805545795</v>
      </c>
      <c r="Q98">
        <v>21</v>
      </c>
      <c r="R98">
        <v>0</v>
      </c>
      <c r="AD98">
        <v>0</v>
      </c>
    </row>
    <row r="99" spans="1:30" x14ac:dyDescent="0.3">
      <c r="A99" s="1" t="s">
        <v>273</v>
      </c>
      <c r="B99" s="1" t="s">
        <v>111</v>
      </c>
      <c r="C99" s="1" t="s">
        <v>106</v>
      </c>
      <c r="D99" s="2">
        <v>17.657917775682769</v>
      </c>
      <c r="E99">
        <v>2</v>
      </c>
      <c r="F99" s="1" t="s">
        <v>320</v>
      </c>
      <c r="G99" s="1">
        <v>54</v>
      </c>
      <c r="H99">
        <v>8</v>
      </c>
      <c r="I99">
        <v>17.8</v>
      </c>
      <c r="J99" s="1">
        <f>(G99/18)+H99</f>
        <v>11</v>
      </c>
      <c r="K99">
        <v>46.5</v>
      </c>
      <c r="L99">
        <v>45.6</v>
      </c>
      <c r="M99" s="3">
        <f>ROUND(I97/3,0)</f>
        <v>2</v>
      </c>
      <c r="N99" s="9">
        <f>IF(M99=0,40,MAX(95+10*LOG10(M99/$X$2),40))</f>
        <v>53.416375079047505</v>
      </c>
      <c r="O99" s="9">
        <f t="shared" si="6"/>
        <v>63.416375079047505</v>
      </c>
      <c r="P99" s="9">
        <f>L99/O99</f>
        <v>0.71905718267813834</v>
      </c>
      <c r="Q99">
        <v>8</v>
      </c>
      <c r="R99">
        <v>0</v>
      </c>
      <c r="AD99">
        <v>0</v>
      </c>
    </row>
    <row r="100" spans="1:30" x14ac:dyDescent="0.3">
      <c r="A100" s="1" t="s">
        <v>274</v>
      </c>
      <c r="B100" s="1" t="s">
        <v>27</v>
      </c>
      <c r="C100" s="1" t="s">
        <v>111</v>
      </c>
      <c r="D100" s="2">
        <v>17.596180055055321</v>
      </c>
      <c r="E100" t="s">
        <v>327</v>
      </c>
      <c r="F100" s="1" t="s">
        <v>320</v>
      </c>
      <c r="G100" s="1" t="s">
        <v>230</v>
      </c>
      <c r="H100">
        <v>0</v>
      </c>
      <c r="I100">
        <v>16.3</v>
      </c>
      <c r="J100">
        <f>ROUND((G100/18)+H100,0)</f>
        <v>3</v>
      </c>
      <c r="K100">
        <v>63.3</v>
      </c>
      <c r="L100">
        <v>59.9</v>
      </c>
      <c r="M100" s="3">
        <f>ROUND(I98/3,0)</f>
        <v>14</v>
      </c>
      <c r="N100" s="9">
        <f>IF(M100=0,40,MAX(95+10*LOG10(M100/$X$2),40))</f>
        <v>61.867355479190074</v>
      </c>
      <c r="O100" s="9">
        <f t="shared" si="6"/>
        <v>71.867355479190081</v>
      </c>
      <c r="P100" s="9">
        <f>L100/O100</f>
        <v>0.83347995206731451</v>
      </c>
      <c r="Q100">
        <v>14</v>
      </c>
      <c r="R100">
        <v>0</v>
      </c>
      <c r="AD100">
        <v>0</v>
      </c>
    </row>
    <row r="101" spans="1:30" x14ac:dyDescent="0.3">
      <c r="A101" s="1" t="s">
        <v>275</v>
      </c>
      <c r="B101" s="1" t="s">
        <v>179</v>
      </c>
      <c r="C101" s="1" t="s">
        <v>174</v>
      </c>
      <c r="D101" s="2">
        <v>21.856429352510261</v>
      </c>
      <c r="E101">
        <v>2</v>
      </c>
      <c r="F101" s="1" t="s">
        <v>320</v>
      </c>
      <c r="G101" s="1"/>
      <c r="H101">
        <v>4</v>
      </c>
      <c r="I101">
        <v>50.1</v>
      </c>
      <c r="J101">
        <f t="shared" si="5"/>
        <v>6</v>
      </c>
      <c r="K101">
        <v>68.5</v>
      </c>
      <c r="L101">
        <v>67.099999999999994</v>
      </c>
      <c r="M101" s="3">
        <f>ROUND(I99/3,0)</f>
        <v>6</v>
      </c>
      <c r="N101" s="9">
        <f>IF(M101=0,40,MAX(95+10*LOG10(M101/$X$2),40))</f>
        <v>58.187587626244131</v>
      </c>
      <c r="O101" s="9">
        <f t="shared" si="6"/>
        <v>68.187587626244124</v>
      </c>
      <c r="P101" s="9">
        <f>L101/O101</f>
        <v>0.98405006447499632</v>
      </c>
      <c r="Q101">
        <v>2</v>
      </c>
      <c r="R101">
        <v>0</v>
      </c>
      <c r="AD101">
        <v>0</v>
      </c>
    </row>
    <row r="102" spans="1:30" x14ac:dyDescent="0.3">
      <c r="A102" s="1" t="s">
        <v>204</v>
      </c>
      <c r="B102" s="1" t="s">
        <v>184</v>
      </c>
      <c r="C102" s="1" t="s">
        <v>174</v>
      </c>
      <c r="D102" s="2">
        <v>13.16677981177515</v>
      </c>
      <c r="E102">
        <v>4</v>
      </c>
      <c r="F102" s="1" t="s">
        <v>301</v>
      </c>
      <c r="G102" s="1"/>
      <c r="H102">
        <v>9</v>
      </c>
      <c r="I102">
        <v>46.6</v>
      </c>
      <c r="J102">
        <f t="shared" si="5"/>
        <v>13</v>
      </c>
      <c r="K102">
        <v>59.7</v>
      </c>
      <c r="L102">
        <v>60.8</v>
      </c>
      <c r="M102" s="3">
        <f>ROUND(I100/3,0)</f>
        <v>5</v>
      </c>
      <c r="N102" s="9">
        <f>IF(M102=0,40,MAX(95+10*LOG10(M102/$X$2),40))</f>
        <v>57.39577516576788</v>
      </c>
      <c r="O102" s="9">
        <f t="shared" si="6"/>
        <v>67.395775165767873</v>
      </c>
      <c r="P102" s="9">
        <f>L102/O102</f>
        <v>0.90213369978244506</v>
      </c>
      <c r="Q102">
        <v>10</v>
      </c>
      <c r="R102">
        <v>0</v>
      </c>
      <c r="AD102">
        <v>0</v>
      </c>
    </row>
    <row r="103" spans="1:30" x14ac:dyDescent="0.3">
      <c r="A103" s="1" t="s">
        <v>209</v>
      </c>
      <c r="B103" s="1" t="s">
        <v>184</v>
      </c>
      <c r="C103" s="1" t="s">
        <v>179</v>
      </c>
      <c r="D103" s="2">
        <v>22.990135571128469</v>
      </c>
      <c r="E103">
        <v>2</v>
      </c>
      <c r="F103" s="1" t="s">
        <v>309</v>
      </c>
      <c r="G103" s="1"/>
      <c r="H103">
        <v>2</v>
      </c>
      <c r="I103">
        <v>10.1</v>
      </c>
      <c r="J103">
        <f t="shared" si="5"/>
        <v>4</v>
      </c>
      <c r="K103">
        <v>65</v>
      </c>
      <c r="L103">
        <v>60.2</v>
      </c>
      <c r="M103" s="3">
        <f>ROUND(I101/3,0)</f>
        <v>17</v>
      </c>
      <c r="N103" s="9">
        <f>IF(M103=0,40,MAX(95+10*LOG10(M103/$X$2),40))</f>
        <v>62.71056433619043</v>
      </c>
      <c r="O103" s="9">
        <f t="shared" si="6"/>
        <v>72.71056433619043</v>
      </c>
      <c r="P103" s="9">
        <f>L103/O103</f>
        <v>0.82794021129659268</v>
      </c>
      <c r="Q103">
        <v>20</v>
      </c>
      <c r="R103">
        <v>0</v>
      </c>
      <c r="AD103">
        <v>0</v>
      </c>
    </row>
    <row r="104" spans="1:30" x14ac:dyDescent="0.3">
      <c r="A104" s="1" t="s">
        <v>276</v>
      </c>
      <c r="B104" s="1" t="s">
        <v>41</v>
      </c>
      <c r="C104" s="1" t="s">
        <v>179</v>
      </c>
      <c r="D104" s="2">
        <v>8.0442500953485698</v>
      </c>
      <c r="E104" t="s">
        <v>327</v>
      </c>
      <c r="F104" s="1" t="s">
        <v>309</v>
      </c>
      <c r="G104" s="1" t="s">
        <v>281</v>
      </c>
      <c r="H104">
        <v>0</v>
      </c>
      <c r="I104">
        <v>46.6</v>
      </c>
      <c r="J104">
        <f>ROUND((G104/18)+H104,0)</f>
        <v>6</v>
      </c>
      <c r="K104">
        <v>65.8</v>
      </c>
      <c r="L104">
        <v>57.1</v>
      </c>
      <c r="M104" s="3">
        <f>ROUND(I102/3,0)</f>
        <v>16</v>
      </c>
      <c r="N104" s="9">
        <f>IF(M104=0,40,MAX(95+10*LOG10(M104/$X$2),40))</f>
        <v>62.447274948966943</v>
      </c>
      <c r="O104" s="9">
        <f t="shared" si="6"/>
        <v>72.447274948966935</v>
      </c>
      <c r="P104" s="9">
        <f>L104/O104</f>
        <v>0.78815938957292997</v>
      </c>
      <c r="Q104">
        <v>53</v>
      </c>
      <c r="R104">
        <v>0</v>
      </c>
      <c r="AD104">
        <v>0</v>
      </c>
    </row>
    <row r="105" spans="1:30" x14ac:dyDescent="0.3">
      <c r="A105" s="1" t="s">
        <v>277</v>
      </c>
      <c r="B105" s="1" t="s">
        <v>164</v>
      </c>
      <c r="C105" s="1" t="s">
        <v>184</v>
      </c>
      <c r="D105" s="2">
        <v>21.373638470841371</v>
      </c>
      <c r="E105">
        <v>4</v>
      </c>
      <c r="F105" s="1" t="s">
        <v>305</v>
      </c>
      <c r="G105" s="1" t="s">
        <v>179</v>
      </c>
      <c r="H105">
        <v>8</v>
      </c>
      <c r="I105">
        <v>6</v>
      </c>
      <c r="J105">
        <f>ROUND((G105/18)+H105,0)</f>
        <v>10</v>
      </c>
      <c r="K105">
        <v>71</v>
      </c>
      <c r="L105">
        <v>64.7</v>
      </c>
      <c r="M105" s="3">
        <f>ROUND(I103/3,0)</f>
        <v>3</v>
      </c>
      <c r="N105" s="9">
        <f>IF(M105=0,40,MAX(95+10*LOG10(M105/$X$2),40))</f>
        <v>55.177287669604318</v>
      </c>
      <c r="O105" s="9">
        <f t="shared" si="6"/>
        <v>65.177287669604311</v>
      </c>
      <c r="P105" s="9">
        <f>L105/O105</f>
        <v>0.9926770860422458</v>
      </c>
      <c r="Q105">
        <v>86</v>
      </c>
      <c r="R105">
        <v>0</v>
      </c>
      <c r="AD105">
        <v>0</v>
      </c>
    </row>
    <row r="106" spans="1:30" x14ac:dyDescent="0.3">
      <c r="A106" s="1" t="s">
        <v>278</v>
      </c>
      <c r="B106" s="1" t="s">
        <v>169</v>
      </c>
      <c r="C106" s="1" t="s">
        <v>164</v>
      </c>
      <c r="D106" s="2">
        <v>16.665282238342702</v>
      </c>
      <c r="E106">
        <v>4</v>
      </c>
      <c r="F106" s="1" t="s">
        <v>301</v>
      </c>
      <c r="G106" s="1"/>
      <c r="H106">
        <v>4</v>
      </c>
      <c r="I106">
        <v>14</v>
      </c>
      <c r="J106">
        <f t="shared" si="5"/>
        <v>8</v>
      </c>
      <c r="K106">
        <v>70.099999999999994</v>
      </c>
      <c r="L106">
        <v>64</v>
      </c>
      <c r="M106" s="3">
        <f>ROUND(I104/3,0)</f>
        <v>16</v>
      </c>
      <c r="N106" s="9">
        <f>IF(M106=0,40,MAX(95+10*LOG10(M106/$X$2),40))</f>
        <v>62.447274948966943</v>
      </c>
      <c r="O106" s="9">
        <f t="shared" si="6"/>
        <v>72.447274948966935</v>
      </c>
      <c r="P106" s="9">
        <f>L106/O106</f>
        <v>0.88340106712202304</v>
      </c>
      <c r="Q106">
        <v>78</v>
      </c>
      <c r="R106">
        <v>0</v>
      </c>
      <c r="AD106">
        <v>0</v>
      </c>
    </row>
    <row r="107" spans="1:30" x14ac:dyDescent="0.3">
      <c r="A107" s="1" t="s">
        <v>279</v>
      </c>
      <c r="B107" s="1" t="s">
        <v>159</v>
      </c>
      <c r="C107" s="1" t="s">
        <v>164</v>
      </c>
      <c r="D107" s="2">
        <v>20.589232048764579</v>
      </c>
      <c r="E107">
        <v>2</v>
      </c>
      <c r="F107" s="1" t="s">
        <v>297</v>
      </c>
      <c r="G107" s="1"/>
      <c r="H107">
        <v>4</v>
      </c>
      <c r="I107">
        <v>2.2000000000000002</v>
      </c>
      <c r="J107">
        <f t="shared" si="5"/>
        <v>6</v>
      </c>
      <c r="K107">
        <v>66.099999999999994</v>
      </c>
      <c r="L107">
        <v>60.9</v>
      </c>
      <c r="M107" s="3">
        <f>ROUND(I105/3,0)</f>
        <v>2</v>
      </c>
      <c r="N107" s="9">
        <f>IF(M107=0,40,MAX(95+10*LOG10(M107/$X$2),40))</f>
        <v>53.416375079047505</v>
      </c>
      <c r="O107" s="9">
        <f t="shared" si="6"/>
        <v>63.416375079047505</v>
      </c>
      <c r="P107" s="9">
        <f>L107/O107</f>
        <v>0.96031979002409262</v>
      </c>
      <c r="Q107">
        <v>10</v>
      </c>
      <c r="R107">
        <v>0</v>
      </c>
      <c r="AD107">
        <v>0</v>
      </c>
    </row>
    <row r="108" spans="1:30" x14ac:dyDescent="0.3">
      <c r="A108" s="1" t="s">
        <v>280</v>
      </c>
      <c r="B108" s="1" t="s">
        <v>189</v>
      </c>
      <c r="C108" s="1" t="s">
        <v>169</v>
      </c>
      <c r="D108" s="2">
        <v>19.273534345386231</v>
      </c>
      <c r="E108">
        <v>4</v>
      </c>
      <c r="F108" s="1" t="s">
        <v>301</v>
      </c>
      <c r="G108" s="1"/>
      <c r="H108">
        <v>12</v>
      </c>
      <c r="I108">
        <v>60.3</v>
      </c>
      <c r="J108">
        <f t="shared" si="5"/>
        <v>16</v>
      </c>
      <c r="K108">
        <v>54.8</v>
      </c>
      <c r="L108">
        <v>53</v>
      </c>
      <c r="M108" s="3">
        <f>ROUND(I106/3,0)</f>
        <v>5</v>
      </c>
      <c r="N108" s="9">
        <f>IF(M108=0,40,MAX(95+10*LOG10(M108/$X$2),40))</f>
        <v>57.39577516576788</v>
      </c>
      <c r="O108" s="9">
        <f t="shared" si="6"/>
        <v>67.395775165767873</v>
      </c>
      <c r="P108" s="9">
        <f>L108/O108</f>
        <v>0.78639944224456559</v>
      </c>
      <c r="Q108">
        <v>28</v>
      </c>
      <c r="R108">
        <v>0</v>
      </c>
      <c r="AD108">
        <v>0</v>
      </c>
    </row>
    <row r="109" spans="1:30" x14ac:dyDescent="0.3">
      <c r="A109" s="1" t="s">
        <v>281</v>
      </c>
      <c r="B109" s="1" t="s">
        <v>159</v>
      </c>
      <c r="C109" s="1" t="s">
        <v>169</v>
      </c>
      <c r="D109" s="2">
        <v>11.972313908110589</v>
      </c>
      <c r="E109">
        <v>2</v>
      </c>
      <c r="F109" s="1" t="s">
        <v>320</v>
      </c>
      <c r="G109" s="1"/>
      <c r="H109">
        <v>8</v>
      </c>
      <c r="I109">
        <v>7.4</v>
      </c>
      <c r="J109">
        <f t="shared" si="5"/>
        <v>10</v>
      </c>
      <c r="K109">
        <v>68.2</v>
      </c>
      <c r="L109">
        <v>61.6</v>
      </c>
      <c r="M109" s="3">
        <f>ROUND(I107/3,0)</f>
        <v>1</v>
      </c>
      <c r="N109" s="9">
        <f>IF(M109=0,40,MAX(95+10*LOG10(M109/$X$2),40))</f>
        <v>50.406075122407692</v>
      </c>
      <c r="O109" s="9">
        <f t="shared" si="6"/>
        <v>60.406075122407692</v>
      </c>
      <c r="P109" s="9">
        <f>L109/O109</f>
        <v>1.0197649801807669</v>
      </c>
      <c r="Q109">
        <v>9</v>
      </c>
      <c r="R109">
        <v>0</v>
      </c>
      <c r="AD109">
        <v>0</v>
      </c>
    </row>
    <row r="110" spans="1:30" x14ac:dyDescent="0.3">
      <c r="A110" s="1" t="s">
        <v>282</v>
      </c>
      <c r="B110" s="1" t="s">
        <v>155</v>
      </c>
      <c r="C110" s="1" t="s">
        <v>159</v>
      </c>
      <c r="D110" s="2">
        <v>18.79830710910274</v>
      </c>
      <c r="E110">
        <v>2</v>
      </c>
      <c r="F110" s="1" t="s">
        <v>297</v>
      </c>
      <c r="G110" s="1" t="s">
        <v>91</v>
      </c>
      <c r="H110">
        <v>8</v>
      </c>
      <c r="I110">
        <v>60.3</v>
      </c>
      <c r="J110">
        <f>ROUND((G110/18)+H110,0)</f>
        <v>9</v>
      </c>
      <c r="K110">
        <v>69.3</v>
      </c>
      <c r="L110">
        <v>63.9</v>
      </c>
      <c r="M110" s="3">
        <f>ROUND(I108/3,0)</f>
        <v>20</v>
      </c>
      <c r="N110" s="9">
        <f>IF(M110=0,40,MAX(95+10*LOG10(M110/$X$2),40))</f>
        <v>63.416375079047498</v>
      </c>
      <c r="O110" s="9">
        <f t="shared" si="6"/>
        <v>73.416375079047498</v>
      </c>
      <c r="P110" s="9">
        <f>L110/O110</f>
        <v>0.87037803121168533</v>
      </c>
      <c r="Q110">
        <v>18</v>
      </c>
      <c r="R110">
        <v>0</v>
      </c>
      <c r="AD110">
        <v>0</v>
      </c>
    </row>
    <row r="111" spans="1:30" x14ac:dyDescent="0.3">
      <c r="A111" s="1" t="s">
        <v>283</v>
      </c>
      <c r="B111" s="1" t="s">
        <v>150</v>
      </c>
      <c r="C111" s="1" t="s">
        <v>159</v>
      </c>
      <c r="D111" s="2">
        <v>42.165000061961251</v>
      </c>
      <c r="E111">
        <v>0</v>
      </c>
      <c r="F111" s="1" t="s">
        <v>320</v>
      </c>
      <c r="G111" s="1"/>
      <c r="H111">
        <v>6</v>
      </c>
      <c r="I111">
        <v>0.5</v>
      </c>
      <c r="J111">
        <f t="shared" si="5"/>
        <v>6</v>
      </c>
      <c r="K111">
        <v>44.4</v>
      </c>
      <c r="L111">
        <v>43.1</v>
      </c>
      <c r="M111" s="3">
        <f>ROUND(I109/3,0)</f>
        <v>2</v>
      </c>
      <c r="N111" s="9">
        <f>IF(M111=0,40,MAX(95+10*LOG10(M111/$X$2),40))</f>
        <v>53.416375079047505</v>
      </c>
      <c r="O111" s="9">
        <f t="shared" si="6"/>
        <v>63.416375079047505</v>
      </c>
      <c r="P111" s="9">
        <f>L111/O111</f>
        <v>0.67963518801376677</v>
      </c>
      <c r="Q111">
        <v>1</v>
      </c>
      <c r="R111">
        <v>0</v>
      </c>
      <c r="AD111">
        <v>0</v>
      </c>
    </row>
    <row r="112" spans="1:30" x14ac:dyDescent="0.3">
      <c r="A112" s="1" t="s">
        <v>284</v>
      </c>
      <c r="B112" s="1" t="s">
        <v>150</v>
      </c>
      <c r="C112" s="1" t="s">
        <v>155</v>
      </c>
      <c r="D112" s="2">
        <v>39.853056149954732</v>
      </c>
      <c r="E112">
        <v>6</v>
      </c>
      <c r="F112" s="1" t="s">
        <v>301</v>
      </c>
      <c r="G112" s="1">
        <v>180</v>
      </c>
      <c r="H112">
        <v>0</v>
      </c>
      <c r="I112">
        <v>56</v>
      </c>
      <c r="J112">
        <f>ROUND((G112/18)+H112,0)</f>
        <v>10</v>
      </c>
      <c r="K112">
        <v>61.4</v>
      </c>
      <c r="L112">
        <v>50.5</v>
      </c>
      <c r="M112" s="3">
        <f>ROUND(I110/3,0)</f>
        <v>20</v>
      </c>
      <c r="N112" s="9">
        <f>IF(M112=0,40,MAX(95+10*LOG10(M112/$X$2),40))</f>
        <v>63.416375079047498</v>
      </c>
      <c r="O112" s="9">
        <f t="shared" si="6"/>
        <v>73.416375079047498</v>
      </c>
      <c r="P112" s="9">
        <f>L112/O112</f>
        <v>0.68785744250688752</v>
      </c>
      <c r="Q112">
        <v>768</v>
      </c>
      <c r="R112">
        <v>0</v>
      </c>
      <c r="AD112">
        <v>0</v>
      </c>
    </row>
    <row r="113" spans="1:30" x14ac:dyDescent="0.3">
      <c r="A113" s="1" t="s">
        <v>285</v>
      </c>
      <c r="B113" s="1" t="s">
        <v>145</v>
      </c>
      <c r="C113" s="1" t="s">
        <v>150</v>
      </c>
      <c r="D113" s="2">
        <v>16.032524534719801</v>
      </c>
      <c r="E113">
        <v>2</v>
      </c>
      <c r="F113" s="1" t="s">
        <v>320</v>
      </c>
      <c r="G113" s="1"/>
      <c r="H113">
        <v>12</v>
      </c>
      <c r="I113">
        <v>0</v>
      </c>
      <c r="J113">
        <f t="shared" si="5"/>
        <v>14</v>
      </c>
      <c r="K113">
        <v>49.5</v>
      </c>
      <c r="L113">
        <v>46.1</v>
      </c>
      <c r="M113" s="3">
        <f>ROUND(I111/3,0)</f>
        <v>0</v>
      </c>
      <c r="N113" s="9">
        <f>IF(M113=0,40,MAX(95+10*LOG10(M113/$X$2),40))</f>
        <v>40</v>
      </c>
      <c r="O113" s="9">
        <f t="shared" si="6"/>
        <v>50</v>
      </c>
      <c r="P113" s="9">
        <f>L113/O113</f>
        <v>0.92200000000000004</v>
      </c>
      <c r="Q113">
        <v>5</v>
      </c>
      <c r="R113">
        <v>0</v>
      </c>
      <c r="AD113">
        <v>0</v>
      </c>
    </row>
    <row r="114" spans="1:30" x14ac:dyDescent="0.3">
      <c r="A114" s="1" t="s">
        <v>286</v>
      </c>
      <c r="B114" s="1" t="s">
        <v>140</v>
      </c>
      <c r="C114" s="1" t="s">
        <v>150</v>
      </c>
      <c r="D114" s="2">
        <v>32</v>
      </c>
      <c r="E114">
        <v>6</v>
      </c>
      <c r="F114" s="1" t="s">
        <v>301</v>
      </c>
      <c r="G114" s="1">
        <v>180</v>
      </c>
      <c r="H114">
        <v>0</v>
      </c>
      <c r="I114">
        <v>56</v>
      </c>
      <c r="J114">
        <f>ROUND((G114/18)+H114,0)</f>
        <v>10</v>
      </c>
      <c r="K114">
        <v>59.3</v>
      </c>
      <c r="L114">
        <v>48.8</v>
      </c>
      <c r="M114" s="3">
        <f>ROUND(I112/3,0)</f>
        <v>19</v>
      </c>
      <c r="N114" s="9">
        <f>IF(M114=0,40,MAX(95+10*LOG10(M114/$X$2),40))</f>
        <v>63.193611131935981</v>
      </c>
      <c r="O114" s="9">
        <f t="shared" si="6"/>
        <v>73.193611131935981</v>
      </c>
      <c r="P114" s="9">
        <f>L114/O114</f>
        <v>0.66672485815783833</v>
      </c>
      <c r="Q114">
        <v>759</v>
      </c>
      <c r="R114">
        <v>0</v>
      </c>
      <c r="AD114">
        <v>0</v>
      </c>
    </row>
    <row r="115" spans="1:30" x14ac:dyDescent="0.3">
      <c r="A115" s="1" t="s">
        <v>287</v>
      </c>
      <c r="B115" s="1" t="s">
        <v>194</v>
      </c>
      <c r="C115" s="1" t="s">
        <v>150</v>
      </c>
      <c r="D115" s="2">
        <v>64</v>
      </c>
      <c r="E115">
        <v>0</v>
      </c>
      <c r="F115" s="1" t="s">
        <v>320</v>
      </c>
      <c r="G115" s="1"/>
      <c r="H115">
        <v>4</v>
      </c>
      <c r="I115">
        <v>41.9</v>
      </c>
      <c r="J115">
        <f t="shared" si="5"/>
        <v>4</v>
      </c>
      <c r="K115">
        <v>52.3</v>
      </c>
      <c r="L115">
        <v>51.3</v>
      </c>
      <c r="M115" s="3">
        <f>ROUND(I113/3,0)</f>
        <v>0</v>
      </c>
      <c r="N115" s="9">
        <f>IF(M115=0,40,MAX(95+10*LOG10(M115/$X$2),40))</f>
        <v>40</v>
      </c>
      <c r="O115" s="9">
        <f t="shared" si="6"/>
        <v>50</v>
      </c>
      <c r="P115" s="9">
        <f>L115/O115</f>
        <v>1.026</v>
      </c>
      <c r="Q115">
        <v>0</v>
      </c>
      <c r="R115">
        <v>0</v>
      </c>
      <c r="AD115">
        <v>0</v>
      </c>
    </row>
    <row r="116" spans="1:30" x14ac:dyDescent="0.3">
      <c r="A116" s="1" t="s">
        <v>288</v>
      </c>
      <c r="B116" s="1" t="s">
        <v>145</v>
      </c>
      <c r="C116" s="1" t="s">
        <v>140</v>
      </c>
      <c r="D116" s="2">
        <v>18</v>
      </c>
      <c r="E116">
        <v>0</v>
      </c>
      <c r="F116" s="1" t="s">
        <v>320</v>
      </c>
      <c r="G116" s="1"/>
      <c r="H116">
        <v>7</v>
      </c>
      <c r="I116">
        <v>5.0999999999999996</v>
      </c>
      <c r="J116">
        <f t="shared" si="5"/>
        <v>7</v>
      </c>
      <c r="K116">
        <v>59.6</v>
      </c>
      <c r="L116">
        <v>54.2</v>
      </c>
      <c r="M116" s="3">
        <f>ROUND(I114/3,0)</f>
        <v>19</v>
      </c>
      <c r="N116" s="9">
        <f>IF(M116=0,40,MAX(95+10*LOG10(M116/$X$2),40))</f>
        <v>63.193611131935981</v>
      </c>
      <c r="O116" s="9">
        <f t="shared" si="6"/>
        <v>73.193611131935981</v>
      </c>
      <c r="P116" s="9">
        <f>L116/O116</f>
        <v>0.74050178918350096</v>
      </c>
      <c r="Q116">
        <v>101</v>
      </c>
      <c r="R116">
        <v>0</v>
      </c>
      <c r="AD116">
        <v>0</v>
      </c>
    </row>
    <row r="117" spans="1:30" x14ac:dyDescent="0.3">
      <c r="A117" s="1" t="s">
        <v>289</v>
      </c>
      <c r="B117" s="1" t="s">
        <v>116</v>
      </c>
      <c r="C117" s="1" t="s">
        <v>140</v>
      </c>
      <c r="D117" s="2">
        <v>44.459294447621893</v>
      </c>
      <c r="E117">
        <v>0</v>
      </c>
      <c r="F117" s="1" t="s">
        <v>320</v>
      </c>
      <c r="G117" s="1"/>
      <c r="H117">
        <v>4</v>
      </c>
      <c r="I117">
        <v>5.5</v>
      </c>
      <c r="J117">
        <f t="shared" si="5"/>
        <v>4</v>
      </c>
      <c r="K117">
        <v>50.5</v>
      </c>
      <c r="L117">
        <v>52.2</v>
      </c>
      <c r="M117" s="3">
        <f>ROUND(I115/3,0)</f>
        <v>14</v>
      </c>
      <c r="N117" s="9">
        <f>IF(M117=0,40,MAX(95+10*LOG10(M117/$X$2),40))</f>
        <v>61.867355479190074</v>
      </c>
      <c r="O117" s="9">
        <f t="shared" si="6"/>
        <v>71.867355479190081</v>
      </c>
      <c r="P117" s="9">
        <f>L117/O117</f>
        <v>0.72633812183495527</v>
      </c>
      <c r="Q117">
        <v>0</v>
      </c>
      <c r="R117">
        <v>0</v>
      </c>
      <c r="AD117">
        <v>0</v>
      </c>
    </row>
    <row r="118" spans="1:30" x14ac:dyDescent="0.3">
      <c r="A118" s="1" t="s">
        <v>290</v>
      </c>
      <c r="B118" s="1" t="s">
        <v>33</v>
      </c>
      <c r="C118" s="1" t="s">
        <v>140</v>
      </c>
      <c r="D118" s="2">
        <v>5.0752748951873361</v>
      </c>
      <c r="E118" t="s">
        <v>327</v>
      </c>
      <c r="F118" s="1" t="s">
        <v>301</v>
      </c>
      <c r="G118" s="5" t="s">
        <v>271</v>
      </c>
      <c r="H118">
        <v>0</v>
      </c>
      <c r="I118">
        <v>43.4</v>
      </c>
      <c r="J118">
        <f>ROUND((G118/18)+H118,0)</f>
        <v>5</v>
      </c>
      <c r="K118">
        <v>53</v>
      </c>
      <c r="L118">
        <v>47</v>
      </c>
      <c r="M118" s="3">
        <f>ROUND(I116/3,0)</f>
        <v>2</v>
      </c>
      <c r="N118" s="9">
        <f>IF(M118=0,40,MAX(95+10*LOG10(M118/$X$2),40))</f>
        <v>53.416375079047505</v>
      </c>
      <c r="O118" s="9">
        <f t="shared" si="6"/>
        <v>63.416375079047505</v>
      </c>
      <c r="P118" s="9">
        <f>L118/O118</f>
        <v>0.74113349969018638</v>
      </c>
      <c r="Q118">
        <v>163</v>
      </c>
      <c r="R118">
        <v>0</v>
      </c>
      <c r="AD118">
        <v>0</v>
      </c>
    </row>
    <row r="119" spans="1:30" x14ac:dyDescent="0.3">
      <c r="A119" s="1" t="s">
        <v>291</v>
      </c>
      <c r="B119" s="1" t="s">
        <v>194</v>
      </c>
      <c r="C119" s="1" t="s">
        <v>189</v>
      </c>
      <c r="D119" s="2">
        <v>55</v>
      </c>
      <c r="E119">
        <v>4</v>
      </c>
      <c r="F119" s="1" t="s">
        <v>301</v>
      </c>
      <c r="G119" s="1"/>
      <c r="H119">
        <v>4</v>
      </c>
      <c r="I119">
        <v>10.3</v>
      </c>
      <c r="J119">
        <f t="shared" si="5"/>
        <v>8</v>
      </c>
      <c r="K119">
        <v>66.599999999999994</v>
      </c>
      <c r="L119">
        <v>63.1</v>
      </c>
      <c r="M119" s="3">
        <f>ROUND(I117/3,0)</f>
        <v>2</v>
      </c>
      <c r="N119" s="9">
        <f>IF(M119=0,40,MAX(95+10*LOG10(M119/$X$2),40))</f>
        <v>53.416375079047505</v>
      </c>
      <c r="O119" s="9">
        <f t="shared" si="6"/>
        <v>63.416375079047505</v>
      </c>
      <c r="P119" s="9">
        <f>L119/O119</f>
        <v>0.99501114532873969</v>
      </c>
      <c r="Q119">
        <v>35</v>
      </c>
      <c r="R119">
        <v>0</v>
      </c>
      <c r="AD119">
        <v>0</v>
      </c>
    </row>
    <row r="120" spans="1:30" x14ac:dyDescent="0.3">
      <c r="A120" s="1" t="s">
        <v>292</v>
      </c>
      <c r="B120" s="1" t="s">
        <v>199</v>
      </c>
      <c r="C120" s="1" t="s">
        <v>189</v>
      </c>
      <c r="D120" s="2">
        <v>45.424783572726803</v>
      </c>
      <c r="E120">
        <v>2</v>
      </c>
      <c r="F120" s="1" t="s">
        <v>320</v>
      </c>
      <c r="G120" s="1"/>
      <c r="H120">
        <v>6</v>
      </c>
      <c r="J120">
        <f t="shared" si="5"/>
        <v>8</v>
      </c>
      <c r="K120">
        <v>57.1</v>
      </c>
      <c r="L120">
        <v>56.2</v>
      </c>
      <c r="M120" s="3">
        <f>ROUND(I118/3,0)</f>
        <v>14</v>
      </c>
      <c r="N120" s="9">
        <f>IF(M120=0,40,MAX(95+10*LOG10(M120/$X$2),40))</f>
        <v>61.867355479190074</v>
      </c>
      <c r="O120" s="9">
        <f t="shared" si="6"/>
        <v>71.867355479190081</v>
      </c>
      <c r="P120" s="9">
        <f>L120/O120</f>
        <v>0.78199621546215492</v>
      </c>
      <c r="Q120">
        <v>2</v>
      </c>
      <c r="R120">
        <v>0</v>
      </c>
      <c r="AD120">
        <v>0</v>
      </c>
    </row>
    <row r="121" spans="1:30" x14ac:dyDescent="0.3">
      <c r="A121" s="1" t="s">
        <v>293</v>
      </c>
      <c r="B121" s="1" t="s">
        <v>199</v>
      </c>
      <c r="C121" s="1" t="s">
        <v>194</v>
      </c>
      <c r="D121" s="2">
        <v>29</v>
      </c>
      <c r="E121">
        <v>1</v>
      </c>
      <c r="F121" s="1" t="s">
        <v>305</v>
      </c>
      <c r="G121" s="1"/>
      <c r="H121">
        <v>2</v>
      </c>
      <c r="J121">
        <f t="shared" si="5"/>
        <v>3</v>
      </c>
      <c r="K121">
        <v>59.3</v>
      </c>
      <c r="L121">
        <v>53.3</v>
      </c>
      <c r="M121" s="3">
        <f>ROUND(I119/3,0)</f>
        <v>3</v>
      </c>
      <c r="N121" s="9">
        <f>IF(M121=0,40,MAX(95+10*LOG10(M121/$X$2),40))</f>
        <v>55.177287669604318</v>
      </c>
      <c r="O121" s="9">
        <f t="shared" si="6"/>
        <v>65.177287669604311</v>
      </c>
      <c r="P121" s="9">
        <f>L121/O121</f>
        <v>0.81776953146911424</v>
      </c>
      <c r="Q121">
        <v>10</v>
      </c>
      <c r="R121">
        <v>0</v>
      </c>
      <c r="AD121">
        <v>0</v>
      </c>
    </row>
    <row r="122" spans="1:30" x14ac:dyDescent="0.3">
      <c r="A122" s="1" t="s">
        <v>294</v>
      </c>
      <c r="B122" s="1" t="s">
        <v>37</v>
      </c>
      <c r="C122" s="1" t="s">
        <v>194</v>
      </c>
      <c r="D122" s="2">
        <v>4.3008184551349826</v>
      </c>
      <c r="E122" t="s">
        <v>327</v>
      </c>
      <c r="F122" s="1" t="s">
        <v>309</v>
      </c>
      <c r="G122" s="1">
        <v>48</v>
      </c>
      <c r="H122">
        <v>0</v>
      </c>
      <c r="J122">
        <f>ROUND((G122/18)+H122,0)</f>
        <v>3</v>
      </c>
      <c r="K122">
        <v>64.5</v>
      </c>
      <c r="L122">
        <v>55.1</v>
      </c>
      <c r="M122" s="3">
        <f>ROUND(I120/3,0)</f>
        <v>0</v>
      </c>
      <c r="N122" s="9">
        <f>IF(M122=0,40,MAX(95+10*LOG10(M122/$X$2),40))</f>
        <v>40</v>
      </c>
      <c r="O122" s="9">
        <f t="shared" si="6"/>
        <v>50</v>
      </c>
      <c r="P122" s="9">
        <f>L122/O122</f>
        <v>1.1020000000000001</v>
      </c>
      <c r="Q122">
        <v>235</v>
      </c>
      <c r="R122">
        <v>0</v>
      </c>
      <c r="AD122">
        <v>0</v>
      </c>
    </row>
    <row r="123" spans="1:30" x14ac:dyDescent="0.3">
      <c r="A123" s="1" t="s">
        <v>296</v>
      </c>
      <c r="B123" s="1" t="s">
        <v>45</v>
      </c>
      <c r="C123" s="1" t="s">
        <v>199</v>
      </c>
      <c r="D123" s="2">
        <v>28.127758747764041</v>
      </c>
      <c r="E123">
        <v>2</v>
      </c>
      <c r="F123" s="1" t="s">
        <v>320</v>
      </c>
      <c r="G123" s="1"/>
      <c r="H123">
        <v>6</v>
      </c>
      <c r="J123">
        <f>E123+H123</f>
        <v>8</v>
      </c>
      <c r="K123">
        <v>63.3</v>
      </c>
      <c r="L123">
        <v>58.5</v>
      </c>
      <c r="M123" s="3">
        <f>ROUND(I121/3,0)</f>
        <v>0</v>
      </c>
      <c r="N123" s="9">
        <f>IF(M123=0,40,MAX(95+10*LOG10(M123/$X$2),40))</f>
        <v>40</v>
      </c>
      <c r="O123" s="9">
        <f t="shared" si="6"/>
        <v>50</v>
      </c>
      <c r="P123" s="9">
        <f>L123/O123</f>
        <v>1.17</v>
      </c>
      <c r="Q123">
        <v>10</v>
      </c>
      <c r="R123">
        <v>0</v>
      </c>
      <c r="AD123">
        <v>0</v>
      </c>
    </row>
    <row r="124" spans="1:30" x14ac:dyDescent="0.3">
      <c r="A124" s="1" t="s">
        <v>298</v>
      </c>
      <c r="B124" s="1" t="s">
        <v>204</v>
      </c>
      <c r="C124" s="1" t="s">
        <v>295</v>
      </c>
      <c r="D124" s="2">
        <v>0</v>
      </c>
      <c r="E124">
        <v>10</v>
      </c>
      <c r="F124" s="1" t="s">
        <v>320</v>
      </c>
      <c r="M124" s="3"/>
      <c r="N124" s="3"/>
      <c r="O124" s="3"/>
      <c r="P124" s="3"/>
      <c r="R124">
        <v>0</v>
      </c>
      <c r="AD124">
        <v>0</v>
      </c>
    </row>
    <row r="125" spans="1:30" x14ac:dyDescent="0.3">
      <c r="A125" s="1" t="s">
        <v>300</v>
      </c>
      <c r="B125" s="1" t="s">
        <v>204</v>
      </c>
      <c r="C125" s="1" t="s">
        <v>297</v>
      </c>
      <c r="D125" s="2">
        <v>0</v>
      </c>
      <c r="E125">
        <v>10</v>
      </c>
      <c r="F125" s="1" t="s">
        <v>320</v>
      </c>
      <c r="M125" s="3"/>
      <c r="N125" s="3"/>
      <c r="O125" s="3"/>
      <c r="P125" s="3"/>
      <c r="R125">
        <v>0</v>
      </c>
    </row>
    <row r="126" spans="1:30" x14ac:dyDescent="0.3">
      <c r="A126" s="1" t="s">
        <v>302</v>
      </c>
      <c r="B126" s="1" t="s">
        <v>204</v>
      </c>
      <c r="C126" s="1" t="s">
        <v>299</v>
      </c>
      <c r="D126" s="2">
        <v>0</v>
      </c>
      <c r="E126">
        <v>10</v>
      </c>
      <c r="F126" s="1" t="s">
        <v>320</v>
      </c>
      <c r="G126">
        <v>10</v>
      </c>
      <c r="M126" s="3"/>
      <c r="N126" s="3"/>
      <c r="O126" s="3"/>
      <c r="P126" s="3"/>
      <c r="R126">
        <v>0</v>
      </c>
    </row>
    <row r="127" spans="1:30" x14ac:dyDescent="0.3">
      <c r="A127" s="1" t="s">
        <v>304</v>
      </c>
      <c r="B127" s="1" t="s">
        <v>204</v>
      </c>
      <c r="C127" s="1" t="s">
        <v>301</v>
      </c>
      <c r="D127" s="2">
        <v>0</v>
      </c>
      <c r="E127">
        <v>10</v>
      </c>
      <c r="F127" s="1" t="s">
        <v>320</v>
      </c>
      <c r="M127" s="3"/>
      <c r="N127" s="3"/>
      <c r="O127" s="3"/>
      <c r="P127" s="3"/>
      <c r="R127">
        <v>0</v>
      </c>
    </row>
    <row r="128" spans="1:30" x14ac:dyDescent="0.3">
      <c r="A128" s="1" t="s">
        <v>306</v>
      </c>
      <c r="B128" s="1" t="s">
        <v>303</v>
      </c>
      <c r="C128" s="1" t="s">
        <v>209</v>
      </c>
      <c r="D128" s="2">
        <v>0</v>
      </c>
      <c r="E128">
        <v>10</v>
      </c>
      <c r="F128" s="1" t="s">
        <v>320</v>
      </c>
      <c r="G128" s="1"/>
      <c r="M128" s="3"/>
      <c r="N128" s="3"/>
      <c r="O128" s="3"/>
      <c r="P128" s="3"/>
      <c r="R128">
        <v>0</v>
      </c>
    </row>
    <row r="129" spans="1:18" x14ac:dyDescent="0.3">
      <c r="A129" s="1" t="s">
        <v>308</v>
      </c>
      <c r="B129" s="1" t="s">
        <v>305</v>
      </c>
      <c r="C129" s="1" t="s">
        <v>209</v>
      </c>
      <c r="D129" s="2">
        <v>0</v>
      </c>
      <c r="E129">
        <v>10</v>
      </c>
      <c r="F129" s="1" t="s">
        <v>320</v>
      </c>
      <c r="G129" s="1"/>
      <c r="O129" s="3"/>
      <c r="R129">
        <v>0</v>
      </c>
    </row>
    <row r="130" spans="1:18" x14ac:dyDescent="0.3">
      <c r="A130" s="1" t="s">
        <v>310</v>
      </c>
      <c r="B130" s="1" t="s">
        <v>307</v>
      </c>
      <c r="C130" s="1" t="s">
        <v>209</v>
      </c>
      <c r="D130" s="2">
        <v>0</v>
      </c>
      <c r="E130">
        <v>10</v>
      </c>
      <c r="F130" s="1" t="s">
        <v>320</v>
      </c>
      <c r="G130" s="1"/>
      <c r="O130" s="3"/>
      <c r="R130">
        <v>0</v>
      </c>
    </row>
    <row r="131" spans="1:18" x14ac:dyDescent="0.3">
      <c r="A131" s="1" t="s">
        <v>317</v>
      </c>
      <c r="B131" s="1" t="s">
        <v>309</v>
      </c>
      <c r="C131" s="1" t="s">
        <v>209</v>
      </c>
      <c r="D131" s="2">
        <v>0</v>
      </c>
      <c r="E131">
        <v>10</v>
      </c>
      <c r="F131" s="1" t="s">
        <v>320</v>
      </c>
      <c r="G131" s="1"/>
      <c r="O131" s="3"/>
      <c r="R131">
        <v>0</v>
      </c>
    </row>
    <row r="132" spans="1:18" x14ac:dyDescent="0.3">
      <c r="A132" s="1" t="s">
        <v>318</v>
      </c>
      <c r="B132" s="1" t="s">
        <v>311</v>
      </c>
      <c r="C132" s="1" t="s">
        <v>209</v>
      </c>
      <c r="D132" s="2">
        <v>0</v>
      </c>
      <c r="E132">
        <v>10</v>
      </c>
      <c r="F132" s="1" t="s">
        <v>320</v>
      </c>
      <c r="G132" s="1"/>
      <c r="O132" s="3"/>
      <c r="R132">
        <v>0</v>
      </c>
    </row>
    <row r="138" spans="1:18" x14ac:dyDescent="0.3">
      <c r="G138">
        <v>68</v>
      </c>
    </row>
    <row r="139" spans="1:18" x14ac:dyDescent="0.3">
      <c r="G139">
        <v>54</v>
      </c>
    </row>
    <row r="140" spans="1:18" x14ac:dyDescent="0.3">
      <c r="G140">
        <v>23</v>
      </c>
    </row>
    <row r="141" spans="1:18" x14ac:dyDescent="0.3">
      <c r="G141">
        <v>70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C1DB-5B2D-4EE7-B277-8FE8E4B27C3C}">
  <dimension ref="A1:CB20"/>
  <sheetViews>
    <sheetView workbookViewId="0">
      <pane xSplit="3" topLeftCell="Z1" activePane="topRight" state="frozen"/>
      <selection pane="topRight" activeCell="AE1" sqref="AE1:AE10"/>
    </sheetView>
  </sheetViews>
  <sheetFormatPr defaultRowHeight="14.4" x14ac:dyDescent="0.3"/>
  <cols>
    <col min="3" max="3" width="25.77734375" customWidth="1"/>
    <col min="9" max="9" width="7.44140625" customWidth="1"/>
    <col min="10" max="10" width="10.88671875" customWidth="1"/>
    <col min="11" max="11" width="10.5546875" customWidth="1"/>
    <col min="12" max="12" width="10.77734375" customWidth="1"/>
    <col min="26" max="30" width="11.109375" customWidth="1"/>
  </cols>
  <sheetData>
    <row r="1" spans="1:78" x14ac:dyDescent="0.3">
      <c r="A1" s="1" t="s">
        <v>0</v>
      </c>
      <c r="B1" s="1" t="s">
        <v>1</v>
      </c>
      <c r="C1" t="s">
        <v>2</v>
      </c>
      <c r="D1" t="s">
        <v>323</v>
      </c>
      <c r="E1" t="s">
        <v>388</v>
      </c>
      <c r="F1" t="s">
        <v>389</v>
      </c>
      <c r="G1" t="s">
        <v>342</v>
      </c>
      <c r="H1" s="7">
        <v>2024</v>
      </c>
      <c r="I1" t="s">
        <v>390</v>
      </c>
      <c r="J1" s="7" t="s">
        <v>324</v>
      </c>
      <c r="K1" s="7" t="s">
        <v>325</v>
      </c>
      <c r="L1" s="7" t="s">
        <v>328</v>
      </c>
      <c r="M1" t="s">
        <v>391</v>
      </c>
      <c r="N1" t="s">
        <v>392</v>
      </c>
      <c r="O1" t="s">
        <v>393</v>
      </c>
      <c r="P1" s="7" t="s">
        <v>329</v>
      </c>
      <c r="Q1" t="s">
        <v>394</v>
      </c>
      <c r="R1" t="s">
        <v>395</v>
      </c>
      <c r="S1" t="s">
        <v>347</v>
      </c>
      <c r="T1" s="7" t="s">
        <v>330</v>
      </c>
      <c r="U1" t="s">
        <v>396</v>
      </c>
      <c r="V1" t="s">
        <v>397</v>
      </c>
      <c r="W1" t="s">
        <v>375</v>
      </c>
      <c r="X1" s="7" t="s">
        <v>331</v>
      </c>
      <c r="Y1" t="s">
        <v>398</v>
      </c>
      <c r="Z1" t="s">
        <v>333</v>
      </c>
      <c r="AA1" t="s">
        <v>334</v>
      </c>
      <c r="AB1" s="7" t="s">
        <v>332</v>
      </c>
      <c r="AC1" t="s">
        <v>402</v>
      </c>
      <c r="AD1" t="s">
        <v>403</v>
      </c>
      <c r="AE1" t="s">
        <v>404</v>
      </c>
      <c r="AF1" s="7" t="s">
        <v>363</v>
      </c>
      <c r="AG1" t="s">
        <v>401</v>
      </c>
      <c r="AH1" t="s">
        <v>399</v>
      </c>
      <c r="AI1" t="s">
        <v>400</v>
      </c>
      <c r="AJ1" s="7" t="s">
        <v>365</v>
      </c>
      <c r="AK1" s="7" t="s">
        <v>337</v>
      </c>
      <c r="AL1" s="7" t="s">
        <v>338</v>
      </c>
      <c r="AM1" s="7" t="s">
        <v>339</v>
      </c>
      <c r="AN1" s="7" t="s">
        <v>340</v>
      </c>
      <c r="AO1" t="s">
        <v>341</v>
      </c>
      <c r="AP1" s="7" t="s">
        <v>343</v>
      </c>
      <c r="AQ1" s="7" t="s">
        <v>344</v>
      </c>
      <c r="AR1" s="7" t="s">
        <v>345</v>
      </c>
      <c r="AS1" s="7" t="s">
        <v>346</v>
      </c>
      <c r="AT1" t="s">
        <v>341</v>
      </c>
      <c r="AU1" s="7" t="s">
        <v>376</v>
      </c>
      <c r="AV1" s="7" t="s">
        <v>377</v>
      </c>
      <c r="AW1" s="7" t="s">
        <v>378</v>
      </c>
      <c r="AX1" s="7" t="s">
        <v>379</v>
      </c>
      <c r="AY1" t="s">
        <v>341</v>
      </c>
      <c r="AZ1" s="7" t="s">
        <v>358</v>
      </c>
      <c r="BA1" s="7" t="s">
        <v>359</v>
      </c>
      <c r="BB1" s="7" t="s">
        <v>360</v>
      </c>
      <c r="BC1" s="7" t="s">
        <v>361</v>
      </c>
      <c r="BD1" t="s">
        <v>341</v>
      </c>
      <c r="BE1" s="7" t="s">
        <v>364</v>
      </c>
      <c r="BF1" s="7" t="s">
        <v>371</v>
      </c>
      <c r="BG1" s="7" t="s">
        <v>372</v>
      </c>
      <c r="BH1" s="7" t="s">
        <v>373</v>
      </c>
      <c r="BI1" t="s">
        <v>341</v>
      </c>
      <c r="BJ1" s="7" t="s">
        <v>366</v>
      </c>
      <c r="BK1" s="7" t="s">
        <v>367</v>
      </c>
      <c r="BL1" s="7" t="s">
        <v>368</v>
      </c>
      <c r="BM1" s="7" t="s">
        <v>369</v>
      </c>
      <c r="BN1" t="s">
        <v>341</v>
      </c>
      <c r="BO1" s="7" t="s">
        <v>405</v>
      </c>
      <c r="BP1" s="7" t="s">
        <v>406</v>
      </c>
      <c r="BQ1" s="7" t="s">
        <v>335</v>
      </c>
      <c r="BR1" s="7" t="s">
        <v>362</v>
      </c>
      <c r="BS1" s="7" t="s">
        <v>407</v>
      </c>
      <c r="BT1" s="7" t="s">
        <v>407</v>
      </c>
      <c r="BU1" s="7" t="s">
        <v>408</v>
      </c>
      <c r="BV1" s="7" t="s">
        <v>409</v>
      </c>
      <c r="BW1" s="7" t="s">
        <v>410</v>
      </c>
      <c r="BX1" s="7" t="s">
        <v>411</v>
      </c>
      <c r="BY1" s="7" t="s">
        <v>374</v>
      </c>
      <c r="BZ1" s="7" t="s">
        <v>374</v>
      </c>
    </row>
    <row r="2" spans="1:78" x14ac:dyDescent="0.3">
      <c r="A2" s="1" t="s">
        <v>6</v>
      </c>
      <c r="B2" s="1" t="s">
        <v>7</v>
      </c>
      <c r="C2" t="s">
        <v>8</v>
      </c>
      <c r="D2">
        <v>9</v>
      </c>
      <c r="E2">
        <v>140</v>
      </c>
      <c r="F2">
        <f>ROUND(E2/2,0)-$D$2</f>
        <v>61</v>
      </c>
      <c r="G2">
        <v>0</v>
      </c>
      <c r="H2">
        <v>61</v>
      </c>
      <c r="J2">
        <v>69</v>
      </c>
      <c r="K2">
        <v>5</v>
      </c>
      <c r="L2">
        <v>19</v>
      </c>
      <c r="M2">
        <v>168</v>
      </c>
      <c r="N2">
        <f>ROUND((M2/2)-(D2*($M$11/$E$11)),0)</f>
        <v>72</v>
      </c>
      <c r="O2">
        <v>0</v>
      </c>
      <c r="P2">
        <v>72</v>
      </c>
      <c r="Q2">
        <v>184</v>
      </c>
      <c r="R2">
        <f>ROUND((Q2/2)-(D2*($Q$11/$E$11)),0)</f>
        <v>79</v>
      </c>
      <c r="S2">
        <v>0</v>
      </c>
      <c r="T2">
        <v>79</v>
      </c>
      <c r="U2">
        <v>195</v>
      </c>
      <c r="V2">
        <f>ROUND((U2/2)-(D2*($U$11/$E$11)),0)</f>
        <v>84</v>
      </c>
      <c r="W2">
        <v>0</v>
      </c>
      <c r="X2">
        <v>84</v>
      </c>
      <c r="Y2">
        <v>236</v>
      </c>
      <c r="Z2">
        <f>ROUND((Y2/2)-(D2*($Y$11/$E$11)),0)</f>
        <v>102</v>
      </c>
      <c r="AA2">
        <v>0</v>
      </c>
      <c r="AB2">
        <f t="shared" ref="AB2:AB10" si="0">Z2-AA2</f>
        <v>102</v>
      </c>
      <c r="AC2">
        <f>ROUND(U2*(U2/M2),0)</f>
        <v>226</v>
      </c>
      <c r="AD2">
        <f>ROUND((AC2/2)-(D2*($AC$11/$E$11)),0)</f>
        <v>97</v>
      </c>
      <c r="AE2">
        <v>0</v>
      </c>
      <c r="AF2">
        <v>97</v>
      </c>
      <c r="AG2">
        <f>ROUND(Y2*(Y2/Q2),0)</f>
        <v>303</v>
      </c>
      <c r="AH2">
        <f>ROUND((AG2/2)-(D2*($AG$11/$E$11)),0)</f>
        <v>131</v>
      </c>
      <c r="AI2">
        <v>0</v>
      </c>
      <c r="AJ2">
        <v>131</v>
      </c>
      <c r="AK2">
        <v>0</v>
      </c>
      <c r="AL2">
        <v>0</v>
      </c>
      <c r="AM2">
        <v>0</v>
      </c>
      <c r="AN2">
        <v>61</v>
      </c>
      <c r="AO2">
        <f>SUM(AK2:AN2)</f>
        <v>61</v>
      </c>
      <c r="AP2">
        <v>0</v>
      </c>
      <c r="AQ2">
        <v>0</v>
      </c>
      <c r="AR2">
        <v>0</v>
      </c>
      <c r="AS2">
        <v>79</v>
      </c>
      <c r="AT2">
        <f>SUM(AP2:AS2)</f>
        <v>79</v>
      </c>
      <c r="AU2">
        <v>0</v>
      </c>
      <c r="AV2">
        <v>0</v>
      </c>
      <c r="AW2">
        <v>0</v>
      </c>
      <c r="AX2">
        <v>84</v>
      </c>
      <c r="AY2">
        <f>SUM(AU2:AX2)</f>
        <v>84</v>
      </c>
      <c r="AZ2">
        <v>0</v>
      </c>
      <c r="BA2">
        <v>0</v>
      </c>
      <c r="BB2">
        <v>0</v>
      </c>
      <c r="BC2">
        <v>102</v>
      </c>
      <c r="BD2">
        <f>SUM(AZ2:BC2)</f>
        <v>102</v>
      </c>
      <c r="BE2">
        <v>0</v>
      </c>
      <c r="BF2">
        <v>0</v>
      </c>
      <c r="BG2">
        <v>0</v>
      </c>
      <c r="BH2">
        <v>97</v>
      </c>
      <c r="BI2">
        <f>SUM(BE2:BH2)</f>
        <v>97</v>
      </c>
      <c r="BJ2">
        <v>0</v>
      </c>
      <c r="BK2">
        <v>0</v>
      </c>
      <c r="BL2">
        <v>0</v>
      </c>
      <c r="BM2">
        <v>131</v>
      </c>
      <c r="BN2">
        <f>SUM(BJ2:BM2)</f>
        <v>131</v>
      </c>
      <c r="BO2">
        <f>ROUND($L2*(P$11/H$11),0)</f>
        <v>24</v>
      </c>
      <c r="BP2">
        <f>ROUND($L2*(T$11/$H$11),0)</f>
        <v>28</v>
      </c>
      <c r="BQ2">
        <f>ROUND(L2*(X$11/H$11),0)</f>
        <v>29</v>
      </c>
      <c r="BR2">
        <f>ROUND($L2*(AB$11/$H$11),0)-1</f>
        <v>34</v>
      </c>
      <c r="BS2">
        <f>ROUND($L2*(AF$11/$H$11),0)-1</f>
        <v>32</v>
      </c>
      <c r="BT2">
        <f>ROUND($L2*(AJ$11/$H$11),0)</f>
        <v>44</v>
      </c>
      <c r="BU2">
        <f>ROUND($K2*(P$11/$H$11),0)</f>
        <v>6</v>
      </c>
      <c r="BV2">
        <f>ROUND($K2*(T$11/$H$11),0)</f>
        <v>7</v>
      </c>
      <c r="BW2">
        <f>ROUND($K2*(X$11/$H$11),0)</f>
        <v>8</v>
      </c>
      <c r="BX2">
        <f>ROUND($K2*(AB$11/$H$11),0)</f>
        <v>9</v>
      </c>
      <c r="BY2">
        <f>ROUND($K2*(AF$11/$H$11),0)</f>
        <v>9</v>
      </c>
      <c r="BZ2">
        <f>ROUND($K2*(AJ$11/$H$11),0)-1</f>
        <v>11</v>
      </c>
    </row>
    <row r="3" spans="1:78" x14ac:dyDescent="0.3">
      <c r="A3" s="1" t="s">
        <v>12</v>
      </c>
      <c r="B3" s="1" t="s">
        <v>13</v>
      </c>
      <c r="C3" t="s">
        <v>14</v>
      </c>
      <c r="D3">
        <v>0</v>
      </c>
      <c r="E3">
        <v>10</v>
      </c>
      <c r="F3">
        <f t="shared" ref="F3:F10" si="1">ROUND(E3/2,0)-D3</f>
        <v>5</v>
      </c>
      <c r="G3">
        <v>0</v>
      </c>
      <c r="H3">
        <v>5</v>
      </c>
      <c r="J3">
        <v>55</v>
      </c>
      <c r="K3">
        <v>5</v>
      </c>
      <c r="L3">
        <v>2</v>
      </c>
      <c r="M3">
        <v>6</v>
      </c>
      <c r="N3">
        <f t="shared" ref="N3:N10" si="2">ROUND((M3/2)-(D3*($M$11/$E$11)),0)</f>
        <v>3</v>
      </c>
      <c r="O3">
        <v>0</v>
      </c>
      <c r="P3">
        <v>3</v>
      </c>
      <c r="Q3">
        <v>7</v>
      </c>
      <c r="R3">
        <f t="shared" ref="R3:R10" si="3">ROUND((Q3/2)-(D3*($Q$11/$E$11)),0)</f>
        <v>4</v>
      </c>
      <c r="S3">
        <v>0</v>
      </c>
      <c r="T3">
        <v>4</v>
      </c>
      <c r="U3">
        <v>7</v>
      </c>
      <c r="V3">
        <f>ROUND((U3/2)-(D3*($U$11/$E$11)),0)</f>
        <v>4</v>
      </c>
      <c r="W3">
        <v>0</v>
      </c>
      <c r="X3">
        <v>4</v>
      </c>
      <c r="Y3">
        <v>8</v>
      </c>
      <c r="Z3">
        <f>ROUND((Y3/2)-(D3*($Y$11/$E$11)),0)</f>
        <v>4</v>
      </c>
      <c r="AA3">
        <v>0</v>
      </c>
      <c r="AB3">
        <f t="shared" si="0"/>
        <v>4</v>
      </c>
      <c r="AC3">
        <f t="shared" ref="AC3:AC10" si="4">ROUND(U3*(U3/M3),0)</f>
        <v>8</v>
      </c>
      <c r="AD3">
        <f t="shared" ref="AD3:AD10" si="5">ROUND((AC3/2)-(D3*($AC$11/$E$11)),0)</f>
        <v>4</v>
      </c>
      <c r="AE3">
        <v>0</v>
      </c>
      <c r="AF3">
        <v>4</v>
      </c>
      <c r="AG3">
        <f t="shared" ref="AG3:AG10" si="6">ROUND(Y3*(Y3/Q3),0)</f>
        <v>9</v>
      </c>
      <c r="AH3">
        <f t="shared" ref="AH3:AH10" si="7">ROUND((AG3/2)-(D3*($AG$11/$E$11)),0)</f>
        <v>5</v>
      </c>
      <c r="AI3">
        <v>0</v>
      </c>
      <c r="AJ3">
        <v>5</v>
      </c>
      <c r="AK3">
        <v>0</v>
      </c>
      <c r="AL3">
        <v>0</v>
      </c>
      <c r="AM3">
        <v>5</v>
      </c>
      <c r="AN3">
        <v>0</v>
      </c>
      <c r="AO3">
        <f t="shared" ref="AO3:AO6" si="8">SUM(AK3:AN3)</f>
        <v>5</v>
      </c>
      <c r="AP3">
        <v>0</v>
      </c>
      <c r="AQ3">
        <v>0</v>
      </c>
      <c r="AR3">
        <v>4</v>
      </c>
      <c r="AS3">
        <v>0</v>
      </c>
      <c r="AT3">
        <f t="shared" ref="AT3:AT6" si="9">SUM(AP3:AS3)</f>
        <v>4</v>
      </c>
      <c r="AU3">
        <v>0</v>
      </c>
      <c r="AV3">
        <v>0</v>
      </c>
      <c r="AW3">
        <v>4</v>
      </c>
      <c r="AX3">
        <v>0</v>
      </c>
      <c r="AY3">
        <f t="shared" ref="AY3:AY10" si="10">SUM(AU3:AX3)</f>
        <v>4</v>
      </c>
      <c r="AZ3">
        <v>0</v>
      </c>
      <c r="BA3">
        <v>0</v>
      </c>
      <c r="BB3">
        <v>4</v>
      </c>
      <c r="BC3">
        <v>0</v>
      </c>
      <c r="BD3">
        <f t="shared" ref="BD3:BD6" si="11">SUM(AZ3:BC3)</f>
        <v>4</v>
      </c>
      <c r="BE3">
        <v>0</v>
      </c>
      <c r="BF3">
        <v>0</v>
      </c>
      <c r="BG3">
        <v>4</v>
      </c>
      <c r="BH3">
        <v>0</v>
      </c>
      <c r="BI3">
        <f t="shared" ref="BI3:BI6" si="12">SUM(BE3:BH3)</f>
        <v>4</v>
      </c>
      <c r="BJ3">
        <v>0</v>
      </c>
      <c r="BK3">
        <v>0</v>
      </c>
      <c r="BL3">
        <v>5</v>
      </c>
      <c r="BM3">
        <v>0</v>
      </c>
      <c r="BN3">
        <f t="shared" ref="BN3:BN5" si="13">SUM(BJ3:BM3)</f>
        <v>5</v>
      </c>
      <c r="BO3">
        <f t="shared" ref="BO3:BO10" si="14">ROUND($L3*(P$11/H$11),0)</f>
        <v>3</v>
      </c>
      <c r="BP3">
        <f t="shared" ref="BP3:BP10" si="15">ROUND($L3*(T$11/$H$11),0)</f>
        <v>3</v>
      </c>
      <c r="BQ3">
        <f t="shared" ref="BQ3:BQ10" si="16">ROUND(L3*(X$11/H$11),0)</f>
        <v>3</v>
      </c>
      <c r="BR3">
        <f t="shared" ref="BR3:BR10" si="17">ROUND($L3*(AB$11/$H$11),0)</f>
        <v>4</v>
      </c>
      <c r="BS3">
        <f t="shared" ref="BS3:BS10" si="18">ROUND($L3*(AF$11/$H$11),0)</f>
        <v>3</v>
      </c>
      <c r="BT3">
        <f t="shared" ref="BT3:BT10" si="19">ROUND($L3*(AJ$11/$H$11),0)</f>
        <v>5</v>
      </c>
      <c r="BU3">
        <f t="shared" ref="BU3:BU10" si="20">ROUND($K3*(P$11/$H$11),0)</f>
        <v>6</v>
      </c>
      <c r="BV3">
        <f t="shared" ref="BV3:BV10" si="21">ROUND($K3*(T$11/$H$11),0)</f>
        <v>7</v>
      </c>
      <c r="BW3">
        <f t="shared" ref="BW3:BW10" si="22">ROUND($K3*(X$11/$H$11),0)</f>
        <v>8</v>
      </c>
      <c r="BX3">
        <f t="shared" ref="BX3:BX10" si="23">ROUND($K3*(AB$11/$H$11),0)</f>
        <v>9</v>
      </c>
      <c r="BY3">
        <f t="shared" ref="BY3:BY10" si="24">ROUND($K3*(AF$11/$H$11),0)</f>
        <v>9</v>
      </c>
      <c r="BZ3">
        <f>ROUND($K3*(AJ$11/$H$11),0)-1</f>
        <v>11</v>
      </c>
    </row>
    <row r="4" spans="1:78" x14ac:dyDescent="0.3">
      <c r="A4" s="1" t="s">
        <v>17</v>
      </c>
      <c r="B4" s="1" t="s">
        <v>18</v>
      </c>
      <c r="C4" t="s">
        <v>19</v>
      </c>
      <c r="D4">
        <v>0</v>
      </c>
      <c r="E4">
        <v>10</v>
      </c>
      <c r="F4">
        <f t="shared" si="1"/>
        <v>5</v>
      </c>
      <c r="G4">
        <v>0</v>
      </c>
      <c r="H4">
        <v>5</v>
      </c>
      <c r="J4">
        <v>24</v>
      </c>
      <c r="K4">
        <v>3</v>
      </c>
      <c r="L4">
        <v>2</v>
      </c>
      <c r="M4">
        <v>14</v>
      </c>
      <c r="N4">
        <f t="shared" si="2"/>
        <v>7</v>
      </c>
      <c r="O4">
        <v>0</v>
      </c>
      <c r="P4">
        <v>7</v>
      </c>
      <c r="Q4">
        <v>17</v>
      </c>
      <c r="R4">
        <f t="shared" si="3"/>
        <v>9</v>
      </c>
      <c r="S4">
        <v>0</v>
      </c>
      <c r="T4">
        <v>9</v>
      </c>
      <c r="U4">
        <v>15</v>
      </c>
      <c r="V4">
        <f>ROUND((U4/2)-(D4*($U$11/$E$11)),0)</f>
        <v>8</v>
      </c>
      <c r="W4">
        <v>0</v>
      </c>
      <c r="X4">
        <v>8</v>
      </c>
      <c r="Y4">
        <v>18</v>
      </c>
      <c r="Z4">
        <f>ROUND((Y4/2)-(D4*($Y$11/$E$11)),0)</f>
        <v>9</v>
      </c>
      <c r="AA4">
        <v>0</v>
      </c>
      <c r="AB4">
        <f t="shared" si="0"/>
        <v>9</v>
      </c>
      <c r="AC4">
        <f t="shared" si="4"/>
        <v>16</v>
      </c>
      <c r="AD4">
        <f t="shared" si="5"/>
        <v>8</v>
      </c>
      <c r="AE4">
        <v>0</v>
      </c>
      <c r="AF4">
        <v>8</v>
      </c>
      <c r="AG4">
        <f t="shared" si="6"/>
        <v>19</v>
      </c>
      <c r="AH4">
        <f t="shared" si="7"/>
        <v>10</v>
      </c>
      <c r="AI4">
        <v>0</v>
      </c>
      <c r="AJ4">
        <v>10</v>
      </c>
      <c r="AK4">
        <v>0</v>
      </c>
      <c r="AL4">
        <v>5</v>
      </c>
      <c r="AM4">
        <v>0</v>
      </c>
      <c r="AN4">
        <v>0</v>
      </c>
      <c r="AO4">
        <f t="shared" si="8"/>
        <v>5</v>
      </c>
      <c r="AP4">
        <v>0</v>
      </c>
      <c r="AQ4">
        <v>9</v>
      </c>
      <c r="AR4">
        <v>0</v>
      </c>
      <c r="AS4">
        <v>0</v>
      </c>
      <c r="AT4">
        <f t="shared" si="9"/>
        <v>9</v>
      </c>
      <c r="AU4">
        <v>0</v>
      </c>
      <c r="AV4">
        <v>8</v>
      </c>
      <c r="AW4">
        <v>0</v>
      </c>
      <c r="AX4">
        <v>0</v>
      </c>
      <c r="AY4">
        <f t="shared" si="10"/>
        <v>8</v>
      </c>
      <c r="AZ4">
        <v>0</v>
      </c>
      <c r="BA4">
        <v>9</v>
      </c>
      <c r="BB4">
        <v>0</v>
      </c>
      <c r="BC4">
        <v>0</v>
      </c>
      <c r="BD4">
        <f t="shared" si="11"/>
        <v>9</v>
      </c>
      <c r="BE4">
        <v>0</v>
      </c>
      <c r="BF4">
        <v>8</v>
      </c>
      <c r="BG4">
        <v>0</v>
      </c>
      <c r="BH4">
        <v>0</v>
      </c>
      <c r="BI4">
        <f t="shared" si="12"/>
        <v>8</v>
      </c>
      <c r="BJ4">
        <v>0</v>
      </c>
      <c r="BK4">
        <v>10</v>
      </c>
      <c r="BL4">
        <v>0</v>
      </c>
      <c r="BM4">
        <v>0</v>
      </c>
      <c r="BN4">
        <f t="shared" si="13"/>
        <v>10</v>
      </c>
      <c r="BO4">
        <f t="shared" si="14"/>
        <v>3</v>
      </c>
      <c r="BP4">
        <f t="shared" si="15"/>
        <v>3</v>
      </c>
      <c r="BQ4">
        <f t="shared" si="16"/>
        <v>3</v>
      </c>
      <c r="BR4">
        <f t="shared" si="17"/>
        <v>4</v>
      </c>
      <c r="BS4">
        <f t="shared" si="18"/>
        <v>3</v>
      </c>
      <c r="BT4">
        <f t="shared" si="19"/>
        <v>5</v>
      </c>
      <c r="BU4">
        <f t="shared" si="20"/>
        <v>4</v>
      </c>
      <c r="BV4">
        <f t="shared" si="21"/>
        <v>4</v>
      </c>
      <c r="BW4">
        <f t="shared" si="22"/>
        <v>5</v>
      </c>
      <c r="BX4">
        <f t="shared" si="23"/>
        <v>5</v>
      </c>
      <c r="BY4">
        <f t="shared" si="24"/>
        <v>5</v>
      </c>
      <c r="BZ4">
        <f t="shared" ref="BZ3:BZ10" si="25">ROUND($K4*(AJ$11/$H$11),0)</f>
        <v>7</v>
      </c>
    </row>
    <row r="5" spans="1:78" x14ac:dyDescent="0.3">
      <c r="A5" s="1" t="s">
        <v>22</v>
      </c>
      <c r="B5" s="1" t="s">
        <v>23</v>
      </c>
      <c r="C5" t="s">
        <v>24</v>
      </c>
      <c r="D5">
        <v>0</v>
      </c>
      <c r="E5">
        <v>5</v>
      </c>
      <c r="F5">
        <f t="shared" si="1"/>
        <v>3</v>
      </c>
      <c r="G5">
        <v>0</v>
      </c>
      <c r="H5">
        <v>3</v>
      </c>
      <c r="J5">
        <v>76</v>
      </c>
      <c r="K5">
        <v>5</v>
      </c>
      <c r="L5">
        <v>1</v>
      </c>
      <c r="M5">
        <v>26</v>
      </c>
      <c r="N5">
        <f t="shared" si="2"/>
        <v>13</v>
      </c>
      <c r="O5">
        <v>0</v>
      </c>
      <c r="P5">
        <v>13</v>
      </c>
      <c r="Q5">
        <v>31</v>
      </c>
      <c r="R5">
        <f t="shared" si="3"/>
        <v>16</v>
      </c>
      <c r="S5">
        <v>0</v>
      </c>
      <c r="T5">
        <v>16</v>
      </c>
      <c r="U5">
        <v>31</v>
      </c>
      <c r="V5">
        <f>ROUND((U5/2)-(D5*($U$11/$E$11)),0)</f>
        <v>16</v>
      </c>
      <c r="W5">
        <v>0</v>
      </c>
      <c r="X5">
        <v>16</v>
      </c>
      <c r="Y5">
        <v>39</v>
      </c>
      <c r="Z5">
        <f>ROUND((Y5/2)-(D5*($Y$11/$E$11)),0)</f>
        <v>20</v>
      </c>
      <c r="AA5">
        <v>0</v>
      </c>
      <c r="AB5">
        <f t="shared" si="0"/>
        <v>20</v>
      </c>
      <c r="AC5">
        <f t="shared" si="4"/>
        <v>37</v>
      </c>
      <c r="AD5">
        <f t="shared" si="5"/>
        <v>19</v>
      </c>
      <c r="AE5">
        <v>0</v>
      </c>
      <c r="AF5">
        <v>19</v>
      </c>
      <c r="AG5">
        <f t="shared" si="6"/>
        <v>49</v>
      </c>
      <c r="AH5">
        <f t="shared" si="7"/>
        <v>25</v>
      </c>
      <c r="AI5">
        <v>0</v>
      </c>
      <c r="AJ5">
        <v>25</v>
      </c>
      <c r="AK5">
        <v>3</v>
      </c>
      <c r="AL5">
        <v>0</v>
      </c>
      <c r="AM5">
        <v>0</v>
      </c>
      <c r="AN5">
        <v>0</v>
      </c>
      <c r="AO5">
        <f t="shared" si="8"/>
        <v>3</v>
      </c>
      <c r="AP5">
        <v>16</v>
      </c>
      <c r="AQ5">
        <v>0</v>
      </c>
      <c r="AR5">
        <v>0</v>
      </c>
      <c r="AS5">
        <v>0</v>
      </c>
      <c r="AT5">
        <f t="shared" si="9"/>
        <v>16</v>
      </c>
      <c r="AU5">
        <v>16</v>
      </c>
      <c r="AV5">
        <v>0</v>
      </c>
      <c r="AW5">
        <v>0</v>
      </c>
      <c r="AX5">
        <v>0</v>
      </c>
      <c r="AY5">
        <f t="shared" si="10"/>
        <v>16</v>
      </c>
      <c r="AZ5">
        <v>20</v>
      </c>
      <c r="BA5">
        <v>0</v>
      </c>
      <c r="BB5">
        <v>0</v>
      </c>
      <c r="BC5">
        <v>0</v>
      </c>
      <c r="BD5">
        <f t="shared" si="11"/>
        <v>20</v>
      </c>
      <c r="BE5">
        <v>19</v>
      </c>
      <c r="BF5">
        <v>0</v>
      </c>
      <c r="BG5">
        <v>0</v>
      </c>
      <c r="BH5">
        <v>0</v>
      </c>
      <c r="BI5">
        <f t="shared" si="12"/>
        <v>19</v>
      </c>
      <c r="BJ5">
        <v>25</v>
      </c>
      <c r="BK5">
        <v>0</v>
      </c>
      <c r="BL5">
        <v>0</v>
      </c>
      <c r="BM5">
        <v>0</v>
      </c>
      <c r="BN5">
        <f t="shared" si="13"/>
        <v>25</v>
      </c>
      <c r="BO5">
        <f t="shared" si="14"/>
        <v>1</v>
      </c>
      <c r="BP5">
        <f t="shared" si="15"/>
        <v>1</v>
      </c>
      <c r="BQ5">
        <f t="shared" si="16"/>
        <v>2</v>
      </c>
      <c r="BR5">
        <f t="shared" si="17"/>
        <v>2</v>
      </c>
      <c r="BS5">
        <f t="shared" si="18"/>
        <v>2</v>
      </c>
      <c r="BT5">
        <f t="shared" si="19"/>
        <v>2</v>
      </c>
      <c r="BU5">
        <f t="shared" si="20"/>
        <v>6</v>
      </c>
      <c r="BV5">
        <f t="shared" si="21"/>
        <v>7</v>
      </c>
      <c r="BW5">
        <f t="shared" si="22"/>
        <v>8</v>
      </c>
      <c r="BX5">
        <f t="shared" si="23"/>
        <v>9</v>
      </c>
      <c r="BY5">
        <f t="shared" si="24"/>
        <v>9</v>
      </c>
      <c r="BZ5">
        <f t="shared" si="25"/>
        <v>12</v>
      </c>
    </row>
    <row r="6" spans="1:78" x14ac:dyDescent="0.3">
      <c r="A6" s="1" t="s">
        <v>27</v>
      </c>
      <c r="B6" s="1" t="s">
        <v>28</v>
      </c>
      <c r="C6" t="s">
        <v>29</v>
      </c>
      <c r="D6">
        <v>0</v>
      </c>
      <c r="E6">
        <v>20</v>
      </c>
      <c r="F6">
        <f t="shared" si="1"/>
        <v>10</v>
      </c>
      <c r="G6">
        <v>0</v>
      </c>
      <c r="H6">
        <v>10</v>
      </c>
      <c r="I6" s="6">
        <f>H6/SUM(H6:H8)</f>
        <v>0.15625</v>
      </c>
      <c r="J6">
        <v>19</v>
      </c>
      <c r="K6">
        <f>ROUND(6*I6,0)</f>
        <v>1</v>
      </c>
      <c r="L6">
        <v>2</v>
      </c>
      <c r="M6">
        <v>32</v>
      </c>
      <c r="N6">
        <f t="shared" si="2"/>
        <v>16</v>
      </c>
      <c r="O6">
        <v>1</v>
      </c>
      <c r="P6">
        <v>15</v>
      </c>
      <c r="Q6">
        <v>35</v>
      </c>
      <c r="R6">
        <f t="shared" si="3"/>
        <v>18</v>
      </c>
      <c r="S6">
        <v>2</v>
      </c>
      <c r="T6">
        <v>14</v>
      </c>
      <c r="U6">
        <v>37</v>
      </c>
      <c r="V6">
        <f>ROUND((U6/2)-(D6*($U$12/$E$12)),0)</f>
        <v>19</v>
      </c>
      <c r="W6">
        <v>2</v>
      </c>
      <c r="X6">
        <v>17</v>
      </c>
      <c r="Y6">
        <v>43</v>
      </c>
      <c r="Z6">
        <f>ROUND((Y6/2)-(D6*($Y$12/$E$12)),0)</f>
        <v>22</v>
      </c>
      <c r="AA6">
        <v>3</v>
      </c>
      <c r="AB6">
        <f t="shared" si="0"/>
        <v>19</v>
      </c>
      <c r="AC6">
        <f t="shared" si="4"/>
        <v>43</v>
      </c>
      <c r="AD6">
        <f t="shared" si="5"/>
        <v>22</v>
      </c>
      <c r="AE6">
        <v>2</v>
      </c>
      <c r="AF6">
        <v>20</v>
      </c>
      <c r="AG6">
        <f t="shared" si="6"/>
        <v>53</v>
      </c>
      <c r="AH6">
        <f t="shared" si="7"/>
        <v>27</v>
      </c>
      <c r="AI6">
        <v>5</v>
      </c>
      <c r="AJ6">
        <v>22</v>
      </c>
      <c r="AK6">
        <v>1</v>
      </c>
      <c r="AL6">
        <v>0</v>
      </c>
      <c r="AM6">
        <v>0</v>
      </c>
      <c r="AN6">
        <v>9</v>
      </c>
      <c r="AO6">
        <f t="shared" si="8"/>
        <v>10</v>
      </c>
      <c r="AP6">
        <v>4</v>
      </c>
      <c r="AQ6">
        <v>1</v>
      </c>
      <c r="AR6">
        <v>0</v>
      </c>
      <c r="AS6">
        <v>9</v>
      </c>
      <c r="AT6">
        <f t="shared" si="9"/>
        <v>14</v>
      </c>
      <c r="AU6">
        <v>5</v>
      </c>
      <c r="AV6">
        <v>0</v>
      </c>
      <c r="AW6">
        <v>0</v>
      </c>
      <c r="AX6">
        <v>12</v>
      </c>
      <c r="AY6">
        <f t="shared" si="10"/>
        <v>17</v>
      </c>
      <c r="AZ6">
        <v>8</v>
      </c>
      <c r="BA6">
        <v>0</v>
      </c>
      <c r="BB6">
        <v>1</v>
      </c>
      <c r="BC6">
        <v>10</v>
      </c>
      <c r="BD6">
        <f t="shared" si="11"/>
        <v>19</v>
      </c>
      <c r="BE6">
        <v>5</v>
      </c>
      <c r="BF6">
        <v>0</v>
      </c>
      <c r="BG6">
        <v>0</v>
      </c>
      <c r="BH6">
        <v>15</v>
      </c>
      <c r="BI6">
        <f t="shared" si="12"/>
        <v>20</v>
      </c>
      <c r="BJ6">
        <v>8</v>
      </c>
      <c r="BK6">
        <v>0</v>
      </c>
      <c r="BL6">
        <v>0</v>
      </c>
      <c r="BM6">
        <v>14</v>
      </c>
      <c r="BN6">
        <f>SUM(BJ6:BM6)</f>
        <v>22</v>
      </c>
      <c r="BO6">
        <f t="shared" si="14"/>
        <v>3</v>
      </c>
      <c r="BP6">
        <f t="shared" si="15"/>
        <v>3</v>
      </c>
      <c r="BQ6">
        <f t="shared" si="16"/>
        <v>3</v>
      </c>
      <c r="BR6">
        <f t="shared" si="17"/>
        <v>4</v>
      </c>
      <c r="BS6">
        <f t="shared" si="18"/>
        <v>3</v>
      </c>
      <c r="BT6">
        <f t="shared" si="19"/>
        <v>5</v>
      </c>
      <c r="BU6">
        <f t="shared" si="20"/>
        <v>1</v>
      </c>
      <c r="BV6">
        <f t="shared" si="21"/>
        <v>1</v>
      </c>
      <c r="BW6">
        <f t="shared" si="22"/>
        <v>2</v>
      </c>
      <c r="BX6">
        <f t="shared" si="23"/>
        <v>2</v>
      </c>
      <c r="BY6">
        <f t="shared" si="24"/>
        <v>2</v>
      </c>
      <c r="BZ6">
        <f t="shared" si="25"/>
        <v>2</v>
      </c>
    </row>
    <row r="7" spans="1:78" x14ac:dyDescent="0.3">
      <c r="A7" s="1" t="s">
        <v>33</v>
      </c>
      <c r="B7" s="1" t="s">
        <v>28</v>
      </c>
      <c r="C7" t="s">
        <v>34</v>
      </c>
      <c r="D7">
        <v>4</v>
      </c>
      <c r="E7">
        <v>85</v>
      </c>
      <c r="F7">
        <f t="shared" si="1"/>
        <v>39</v>
      </c>
      <c r="G7">
        <v>3</v>
      </c>
      <c r="H7">
        <v>36</v>
      </c>
      <c r="I7" s="6">
        <f>H7/SUM(H6:H8)</f>
        <v>0.5625</v>
      </c>
      <c r="J7">
        <v>72</v>
      </c>
      <c r="K7">
        <v>5</v>
      </c>
      <c r="L7">
        <v>6</v>
      </c>
      <c r="M7">
        <v>138</v>
      </c>
      <c r="N7">
        <f t="shared" si="2"/>
        <v>64</v>
      </c>
      <c r="O7">
        <v>6</v>
      </c>
      <c r="P7">
        <v>58</v>
      </c>
      <c r="Q7">
        <v>155</v>
      </c>
      <c r="R7">
        <f t="shared" si="3"/>
        <v>72</v>
      </c>
      <c r="S7">
        <v>5</v>
      </c>
      <c r="T7">
        <v>67</v>
      </c>
      <c r="U7">
        <v>166</v>
      </c>
      <c r="V7">
        <f>ROUND((U7/2)-(D7*($U$12/$E$12)),0)</f>
        <v>77</v>
      </c>
      <c r="W7">
        <v>7</v>
      </c>
      <c r="X7">
        <v>70</v>
      </c>
      <c r="Y7">
        <v>206</v>
      </c>
      <c r="Z7">
        <f>ROUND((Y7/2)-(D7*($Y$12/$E$12)),0)</f>
        <v>95</v>
      </c>
      <c r="AA7">
        <v>10</v>
      </c>
      <c r="AB7">
        <f t="shared" si="0"/>
        <v>85</v>
      </c>
      <c r="AC7">
        <f t="shared" si="4"/>
        <v>200</v>
      </c>
      <c r="AD7">
        <f t="shared" si="5"/>
        <v>93</v>
      </c>
      <c r="AE7">
        <v>12</v>
      </c>
      <c r="AF7">
        <v>81</v>
      </c>
      <c r="AG7">
        <f t="shared" si="6"/>
        <v>274</v>
      </c>
      <c r="AH7">
        <f t="shared" si="7"/>
        <v>128</v>
      </c>
      <c r="AI7">
        <v>19</v>
      </c>
      <c r="AJ7">
        <v>109</v>
      </c>
      <c r="AK7">
        <v>2</v>
      </c>
      <c r="AL7">
        <v>2</v>
      </c>
      <c r="AM7">
        <v>2</v>
      </c>
      <c r="AN7">
        <v>30</v>
      </c>
      <c r="AO7">
        <f>SUM(AK7:AN7)</f>
        <v>36</v>
      </c>
      <c r="AP7">
        <v>8</v>
      </c>
      <c r="AQ7">
        <v>3</v>
      </c>
      <c r="AR7">
        <v>1</v>
      </c>
      <c r="AS7">
        <v>55</v>
      </c>
      <c r="AT7">
        <f>SUM(AP7:AS7)</f>
        <v>67</v>
      </c>
      <c r="AU7">
        <v>9</v>
      </c>
      <c r="AV7">
        <v>6</v>
      </c>
      <c r="AW7">
        <v>3</v>
      </c>
      <c r="AX7">
        <v>52</v>
      </c>
      <c r="AY7">
        <f t="shared" si="10"/>
        <v>70</v>
      </c>
      <c r="AZ7">
        <v>7</v>
      </c>
      <c r="BA7">
        <v>4</v>
      </c>
      <c r="BB7">
        <v>1</v>
      </c>
      <c r="BC7">
        <v>73</v>
      </c>
      <c r="BD7">
        <f>SUM(AZ7:BC7)</f>
        <v>85</v>
      </c>
      <c r="BE7">
        <v>13</v>
      </c>
      <c r="BF7">
        <v>5</v>
      </c>
      <c r="BG7">
        <v>2</v>
      </c>
      <c r="BH7">
        <v>61</v>
      </c>
      <c r="BI7">
        <f>SUM(BE7:BH7)</f>
        <v>81</v>
      </c>
      <c r="BJ7">
        <v>15</v>
      </c>
      <c r="BK7">
        <v>5</v>
      </c>
      <c r="BL7">
        <v>2</v>
      </c>
      <c r="BM7">
        <v>87</v>
      </c>
      <c r="BN7">
        <f>SUM(BJ7:BM7)</f>
        <v>109</v>
      </c>
      <c r="BO7">
        <f t="shared" si="14"/>
        <v>8</v>
      </c>
      <c r="BP7">
        <f t="shared" si="15"/>
        <v>9</v>
      </c>
      <c r="BQ7">
        <f t="shared" si="16"/>
        <v>9</v>
      </c>
      <c r="BR7">
        <f t="shared" si="17"/>
        <v>11</v>
      </c>
      <c r="BS7">
        <f t="shared" si="18"/>
        <v>10</v>
      </c>
      <c r="BT7">
        <f t="shared" si="19"/>
        <v>14</v>
      </c>
      <c r="BU7">
        <f t="shared" si="20"/>
        <v>6</v>
      </c>
      <c r="BV7">
        <f t="shared" si="21"/>
        <v>7</v>
      </c>
      <c r="BW7">
        <f t="shared" si="22"/>
        <v>8</v>
      </c>
      <c r="BX7">
        <f t="shared" si="23"/>
        <v>9</v>
      </c>
      <c r="BY7">
        <f t="shared" si="24"/>
        <v>9</v>
      </c>
      <c r="BZ7">
        <f t="shared" si="25"/>
        <v>12</v>
      </c>
    </row>
    <row r="8" spans="1:78" x14ac:dyDescent="0.3">
      <c r="A8" s="1" t="s">
        <v>37</v>
      </c>
      <c r="B8" s="1" t="s">
        <v>28</v>
      </c>
      <c r="C8" t="s">
        <v>38</v>
      </c>
      <c r="D8">
        <v>8</v>
      </c>
      <c r="E8">
        <v>55</v>
      </c>
      <c r="F8">
        <f>ROUND(E8/2,0)-D8</f>
        <v>20</v>
      </c>
      <c r="G8">
        <v>2</v>
      </c>
      <c r="H8">
        <v>18</v>
      </c>
      <c r="I8" s="6">
        <f>H8/SUM(H6:H8)</f>
        <v>0.28125</v>
      </c>
      <c r="J8">
        <v>35</v>
      </c>
      <c r="K8">
        <v>3</v>
      </c>
      <c r="L8">
        <v>3</v>
      </c>
      <c r="M8">
        <v>44</v>
      </c>
      <c r="N8">
        <f t="shared" si="2"/>
        <v>12</v>
      </c>
      <c r="O8">
        <v>2</v>
      </c>
      <c r="P8">
        <v>10</v>
      </c>
      <c r="Q8">
        <v>51</v>
      </c>
      <c r="R8">
        <f t="shared" si="3"/>
        <v>14</v>
      </c>
      <c r="S8">
        <v>1</v>
      </c>
      <c r="T8">
        <v>13</v>
      </c>
      <c r="U8">
        <v>50</v>
      </c>
      <c r="V8">
        <f>ROUND((U8/2)-(D8*($U$12/$E$12)),0)</f>
        <v>12</v>
      </c>
      <c r="W8">
        <v>0</v>
      </c>
      <c r="X8">
        <v>12</v>
      </c>
      <c r="Y8">
        <v>64</v>
      </c>
      <c r="Z8">
        <f>ROUND((Y8/2)-(D8*($Y$12/$E$12)),0)</f>
        <v>16</v>
      </c>
      <c r="AA8">
        <v>2</v>
      </c>
      <c r="AB8">
        <f t="shared" si="0"/>
        <v>14</v>
      </c>
      <c r="AC8">
        <f t="shared" si="4"/>
        <v>57</v>
      </c>
      <c r="AD8">
        <f t="shared" si="5"/>
        <v>15</v>
      </c>
      <c r="AE8">
        <v>2</v>
      </c>
      <c r="AF8">
        <v>13</v>
      </c>
      <c r="AG8">
        <f t="shared" si="6"/>
        <v>80</v>
      </c>
      <c r="AH8">
        <f t="shared" si="7"/>
        <v>22</v>
      </c>
      <c r="AI8">
        <v>3</v>
      </c>
      <c r="AJ8">
        <v>19</v>
      </c>
      <c r="AK8">
        <v>0</v>
      </c>
      <c r="AL8">
        <v>2</v>
      </c>
      <c r="AM8">
        <v>2</v>
      </c>
      <c r="AN8">
        <v>14</v>
      </c>
      <c r="AO8">
        <f t="shared" ref="AO8:AO10" si="26">SUM(AK8:AN8)</f>
        <v>18</v>
      </c>
      <c r="AP8">
        <v>2</v>
      </c>
      <c r="AQ8">
        <v>3</v>
      </c>
      <c r="AR8">
        <v>2</v>
      </c>
      <c r="AS8">
        <v>6</v>
      </c>
      <c r="AT8">
        <f t="shared" ref="AT8:AT10" si="27">SUM(AP8:AS8)</f>
        <v>13</v>
      </c>
      <c r="AU8">
        <v>2</v>
      </c>
      <c r="AV8">
        <v>1</v>
      </c>
      <c r="AW8">
        <v>0</v>
      </c>
      <c r="AX8">
        <v>9</v>
      </c>
      <c r="AY8">
        <f t="shared" si="10"/>
        <v>12</v>
      </c>
      <c r="AZ8">
        <v>2</v>
      </c>
      <c r="BA8">
        <v>3</v>
      </c>
      <c r="BB8">
        <v>1</v>
      </c>
      <c r="BC8">
        <v>8</v>
      </c>
      <c r="BD8">
        <f t="shared" ref="BD8:BD10" si="28">SUM(AZ8:BC8)</f>
        <v>14</v>
      </c>
      <c r="BE8">
        <v>1</v>
      </c>
      <c r="BF8">
        <v>2</v>
      </c>
      <c r="BG8">
        <v>1</v>
      </c>
      <c r="BH8">
        <v>9</v>
      </c>
      <c r="BI8">
        <f t="shared" ref="BI8:BI10" si="29">SUM(BE8:BH8)</f>
        <v>13</v>
      </c>
      <c r="BJ8">
        <v>1</v>
      </c>
      <c r="BK8">
        <v>4</v>
      </c>
      <c r="BL8">
        <v>2</v>
      </c>
      <c r="BM8">
        <v>12</v>
      </c>
      <c r="BN8">
        <f t="shared" ref="BN8:BN10" si="30">SUM(BJ8:BM8)</f>
        <v>19</v>
      </c>
      <c r="BO8">
        <f t="shared" si="14"/>
        <v>4</v>
      </c>
      <c r="BP8">
        <f t="shared" si="15"/>
        <v>4</v>
      </c>
      <c r="BQ8">
        <f t="shared" si="16"/>
        <v>5</v>
      </c>
      <c r="BR8">
        <f t="shared" si="17"/>
        <v>5</v>
      </c>
      <c r="BS8">
        <f t="shared" si="18"/>
        <v>5</v>
      </c>
      <c r="BT8">
        <f t="shared" si="19"/>
        <v>7</v>
      </c>
      <c r="BU8">
        <f t="shared" si="20"/>
        <v>4</v>
      </c>
      <c r="BV8">
        <f t="shared" si="21"/>
        <v>4</v>
      </c>
      <c r="BW8">
        <f t="shared" si="22"/>
        <v>5</v>
      </c>
      <c r="BX8">
        <f t="shared" si="23"/>
        <v>5</v>
      </c>
      <c r="BY8">
        <f t="shared" si="24"/>
        <v>5</v>
      </c>
      <c r="BZ8">
        <f t="shared" si="25"/>
        <v>7</v>
      </c>
    </row>
    <row r="9" spans="1:78" x14ac:dyDescent="0.3">
      <c r="A9" s="1" t="s">
        <v>41</v>
      </c>
      <c r="B9" s="1" t="s">
        <v>28</v>
      </c>
      <c r="C9" t="s">
        <v>42</v>
      </c>
      <c r="D9">
        <v>8</v>
      </c>
      <c r="E9">
        <v>25</v>
      </c>
      <c r="F9">
        <f t="shared" si="1"/>
        <v>5</v>
      </c>
      <c r="G9">
        <v>0</v>
      </c>
      <c r="H9">
        <v>5</v>
      </c>
      <c r="J9">
        <v>80</v>
      </c>
      <c r="K9">
        <v>8</v>
      </c>
      <c r="L9">
        <v>11</v>
      </c>
      <c r="M9">
        <v>32</v>
      </c>
      <c r="N9">
        <f t="shared" si="2"/>
        <v>6</v>
      </c>
      <c r="O9">
        <v>0</v>
      </c>
      <c r="P9">
        <v>5</v>
      </c>
      <c r="Q9">
        <v>36</v>
      </c>
      <c r="R9">
        <f t="shared" si="3"/>
        <v>6</v>
      </c>
      <c r="S9">
        <v>0</v>
      </c>
      <c r="T9">
        <v>6</v>
      </c>
      <c r="U9">
        <v>36</v>
      </c>
      <c r="V9">
        <f>ROUND((U9/2)-(D9*($U$12/$E$12)),0)</f>
        <v>5</v>
      </c>
      <c r="W9">
        <v>0</v>
      </c>
      <c r="X9">
        <v>5</v>
      </c>
      <c r="Y9">
        <v>45</v>
      </c>
      <c r="Z9">
        <f>ROUND((Y9/2)-(D9*($Y$12/$E$12)),0)</f>
        <v>7</v>
      </c>
      <c r="AA9">
        <v>0</v>
      </c>
      <c r="AB9">
        <f t="shared" si="0"/>
        <v>7</v>
      </c>
      <c r="AC9">
        <f t="shared" si="4"/>
        <v>41</v>
      </c>
      <c r="AD9">
        <f t="shared" si="5"/>
        <v>7</v>
      </c>
      <c r="AE9">
        <v>1</v>
      </c>
      <c r="AF9">
        <v>6</v>
      </c>
      <c r="AG9">
        <f t="shared" si="6"/>
        <v>56</v>
      </c>
      <c r="AH9">
        <f t="shared" si="7"/>
        <v>10</v>
      </c>
      <c r="AI9">
        <v>1</v>
      </c>
      <c r="AJ9">
        <v>9</v>
      </c>
      <c r="AK9">
        <v>0</v>
      </c>
      <c r="AL9">
        <v>1</v>
      </c>
      <c r="AM9">
        <v>1</v>
      </c>
      <c r="AN9">
        <v>3</v>
      </c>
      <c r="AO9">
        <f t="shared" si="26"/>
        <v>5</v>
      </c>
      <c r="AP9">
        <v>1</v>
      </c>
      <c r="AQ9">
        <v>1</v>
      </c>
      <c r="AR9">
        <v>1</v>
      </c>
      <c r="AS9">
        <v>3</v>
      </c>
      <c r="AT9">
        <f t="shared" si="27"/>
        <v>6</v>
      </c>
      <c r="AU9">
        <v>0</v>
      </c>
      <c r="AV9">
        <v>1</v>
      </c>
      <c r="AW9">
        <v>1</v>
      </c>
      <c r="AX9">
        <v>3</v>
      </c>
      <c r="AY9">
        <f t="shared" si="10"/>
        <v>5</v>
      </c>
      <c r="AZ9">
        <v>2</v>
      </c>
      <c r="BA9">
        <v>2</v>
      </c>
      <c r="BB9">
        <v>1</v>
      </c>
      <c r="BC9">
        <v>2</v>
      </c>
      <c r="BD9">
        <f t="shared" si="28"/>
        <v>7</v>
      </c>
      <c r="BE9">
        <v>0</v>
      </c>
      <c r="BF9">
        <v>1</v>
      </c>
      <c r="BG9">
        <v>1</v>
      </c>
      <c r="BH9">
        <v>4</v>
      </c>
      <c r="BI9">
        <f t="shared" si="29"/>
        <v>6</v>
      </c>
      <c r="BJ9">
        <v>0</v>
      </c>
      <c r="BK9">
        <v>1</v>
      </c>
      <c r="BL9">
        <v>1</v>
      </c>
      <c r="BM9">
        <v>7</v>
      </c>
      <c r="BN9">
        <f t="shared" si="30"/>
        <v>9</v>
      </c>
      <c r="BO9">
        <f>ROUND($L9*(P$11/H$11),0)-1</f>
        <v>13</v>
      </c>
      <c r="BP9">
        <f t="shared" si="15"/>
        <v>16</v>
      </c>
      <c r="BQ9">
        <f t="shared" si="16"/>
        <v>17</v>
      </c>
      <c r="BR9">
        <f t="shared" si="17"/>
        <v>20</v>
      </c>
      <c r="BS9">
        <f t="shared" si="18"/>
        <v>19</v>
      </c>
      <c r="BT9">
        <f t="shared" si="19"/>
        <v>25</v>
      </c>
      <c r="BU9">
        <f t="shared" si="20"/>
        <v>10</v>
      </c>
      <c r="BV9">
        <f t="shared" si="21"/>
        <v>12</v>
      </c>
      <c r="BW9">
        <f t="shared" si="22"/>
        <v>12</v>
      </c>
      <c r="BX9">
        <f>ROUND($K9*(AB$11/$H$11),0)-1</f>
        <v>14</v>
      </c>
      <c r="BY9">
        <f t="shared" si="24"/>
        <v>14</v>
      </c>
      <c r="BZ9">
        <f t="shared" si="25"/>
        <v>18</v>
      </c>
    </row>
    <row r="10" spans="1:78" x14ac:dyDescent="0.3">
      <c r="A10" s="1" t="s">
        <v>45</v>
      </c>
      <c r="B10" s="1" t="s">
        <v>46</v>
      </c>
      <c r="C10" t="s">
        <v>47</v>
      </c>
      <c r="D10">
        <v>0</v>
      </c>
      <c r="E10">
        <v>10</v>
      </c>
      <c r="F10">
        <f t="shared" si="1"/>
        <v>5</v>
      </c>
      <c r="G10">
        <v>0</v>
      </c>
      <c r="H10">
        <v>5</v>
      </c>
      <c r="J10">
        <v>18</v>
      </c>
      <c r="K10">
        <v>1</v>
      </c>
      <c r="L10">
        <v>2</v>
      </c>
      <c r="M10">
        <v>15</v>
      </c>
      <c r="N10">
        <f t="shared" si="2"/>
        <v>8</v>
      </c>
      <c r="O10">
        <v>0</v>
      </c>
      <c r="P10">
        <v>7</v>
      </c>
      <c r="Q10">
        <v>17</v>
      </c>
      <c r="R10">
        <f t="shared" si="3"/>
        <v>9</v>
      </c>
      <c r="S10">
        <v>1</v>
      </c>
      <c r="T10">
        <v>8</v>
      </c>
      <c r="U10">
        <v>16</v>
      </c>
      <c r="V10">
        <f>ROUND((U10/2)-(D10*($U$12/$E$12)),0)</f>
        <v>8</v>
      </c>
      <c r="W10">
        <v>0</v>
      </c>
      <c r="X10">
        <v>8</v>
      </c>
      <c r="Y10">
        <v>22</v>
      </c>
      <c r="Z10">
        <f>ROUND((Y10/2)-(D10*($Y$12/$E$12)),0)</f>
        <v>11</v>
      </c>
      <c r="AA10">
        <v>1</v>
      </c>
      <c r="AB10">
        <f t="shared" si="0"/>
        <v>10</v>
      </c>
      <c r="AC10">
        <f t="shared" si="4"/>
        <v>17</v>
      </c>
      <c r="AD10">
        <f t="shared" si="5"/>
        <v>9</v>
      </c>
      <c r="AE10">
        <v>1</v>
      </c>
      <c r="AF10">
        <v>8</v>
      </c>
      <c r="AG10">
        <f t="shared" si="6"/>
        <v>28</v>
      </c>
      <c r="AH10">
        <f t="shared" si="7"/>
        <v>14</v>
      </c>
      <c r="AI10">
        <v>2</v>
      </c>
      <c r="AJ10">
        <v>12</v>
      </c>
      <c r="AK10">
        <v>0</v>
      </c>
      <c r="AL10">
        <v>0</v>
      </c>
      <c r="AM10">
        <v>0</v>
      </c>
      <c r="AN10">
        <v>5</v>
      </c>
      <c r="AO10">
        <f t="shared" si="26"/>
        <v>5</v>
      </c>
      <c r="AP10">
        <v>1</v>
      </c>
      <c r="AQ10">
        <v>1</v>
      </c>
      <c r="AR10">
        <v>0</v>
      </c>
      <c r="AS10">
        <v>6</v>
      </c>
      <c r="AT10">
        <f t="shared" si="27"/>
        <v>8</v>
      </c>
      <c r="AU10">
        <v>0</v>
      </c>
      <c r="AV10">
        <v>0</v>
      </c>
      <c r="AW10">
        <v>0</v>
      </c>
      <c r="AX10">
        <v>8</v>
      </c>
      <c r="AY10">
        <f t="shared" si="10"/>
        <v>8</v>
      </c>
      <c r="AZ10">
        <v>1</v>
      </c>
      <c r="BA10">
        <v>0</v>
      </c>
      <c r="BB10">
        <v>0</v>
      </c>
      <c r="BC10">
        <v>9</v>
      </c>
      <c r="BD10">
        <f t="shared" si="28"/>
        <v>10</v>
      </c>
      <c r="BE10">
        <v>0</v>
      </c>
      <c r="BF10">
        <v>0</v>
      </c>
      <c r="BG10">
        <v>0</v>
      </c>
      <c r="BH10">
        <v>8</v>
      </c>
      <c r="BI10">
        <f t="shared" si="29"/>
        <v>8</v>
      </c>
      <c r="BJ10">
        <v>1</v>
      </c>
      <c r="BK10">
        <v>0</v>
      </c>
      <c r="BL10">
        <v>0</v>
      </c>
      <c r="BM10">
        <v>11</v>
      </c>
      <c r="BN10">
        <f t="shared" si="30"/>
        <v>12</v>
      </c>
      <c r="BO10">
        <f t="shared" si="14"/>
        <v>3</v>
      </c>
      <c r="BP10">
        <f t="shared" si="15"/>
        <v>3</v>
      </c>
      <c r="BQ10">
        <f t="shared" si="16"/>
        <v>3</v>
      </c>
      <c r="BR10">
        <f t="shared" si="17"/>
        <v>4</v>
      </c>
      <c r="BS10">
        <f t="shared" si="18"/>
        <v>3</v>
      </c>
      <c r="BT10">
        <f t="shared" si="19"/>
        <v>5</v>
      </c>
      <c r="BU10">
        <f t="shared" si="20"/>
        <v>1</v>
      </c>
      <c r="BV10">
        <f t="shared" si="21"/>
        <v>1</v>
      </c>
      <c r="BW10">
        <f t="shared" si="22"/>
        <v>2</v>
      </c>
      <c r="BX10">
        <f t="shared" si="23"/>
        <v>2</v>
      </c>
      <c r="BY10">
        <f t="shared" si="24"/>
        <v>2</v>
      </c>
      <c r="BZ10">
        <f t="shared" si="25"/>
        <v>2</v>
      </c>
    </row>
    <row r="11" spans="1:78" x14ac:dyDescent="0.3">
      <c r="C11" t="s">
        <v>321</v>
      </c>
      <c r="D11">
        <v>0</v>
      </c>
      <c r="E11">
        <f>SUM(E2:E5)</f>
        <v>165</v>
      </c>
      <c r="F11">
        <f>SUM(F2:F5)</f>
        <v>74</v>
      </c>
      <c r="H11">
        <f>SUM(H2:H5)</f>
        <v>74</v>
      </c>
      <c r="I11" s="6"/>
      <c r="J11">
        <f t="shared" ref="J11:Q11" si="31">SUM(J2:J5)</f>
        <v>224</v>
      </c>
      <c r="K11">
        <f t="shared" si="31"/>
        <v>18</v>
      </c>
      <c r="L11">
        <f t="shared" si="31"/>
        <v>24</v>
      </c>
      <c r="M11">
        <f t="shared" si="31"/>
        <v>214</v>
      </c>
      <c r="N11">
        <f>SUM(N2:N5)</f>
        <v>95</v>
      </c>
      <c r="P11">
        <f t="shared" ref="P11" si="32">SUM(P2:P5)</f>
        <v>95</v>
      </c>
      <c r="Q11">
        <f t="shared" si="31"/>
        <v>239</v>
      </c>
      <c r="R11">
        <f>SUM(R2:R5)</f>
        <v>108</v>
      </c>
      <c r="T11">
        <f t="shared" ref="T11" si="33">SUM(T2:T5)</f>
        <v>108</v>
      </c>
      <c r="U11">
        <f t="shared" ref="U11:Y11" si="34">SUM(U2:U5)</f>
        <v>248</v>
      </c>
      <c r="V11">
        <f>SUM(V2:V5)</f>
        <v>112</v>
      </c>
      <c r="X11">
        <f>SUM(X2:X5)</f>
        <v>112</v>
      </c>
      <c r="Y11">
        <f t="shared" si="34"/>
        <v>301</v>
      </c>
      <c r="Z11">
        <f>SUM(Z2:Z5)</f>
        <v>135</v>
      </c>
      <c r="AB11">
        <f>SUM(AB2:AB5)</f>
        <v>135</v>
      </c>
      <c r="AC11">
        <f>SUM(AC2:AC5)</f>
        <v>287</v>
      </c>
      <c r="AD11">
        <f>SUM(AD2:AD5)</f>
        <v>128</v>
      </c>
      <c r="AF11">
        <f>SUM(AF2:AF5)</f>
        <v>128</v>
      </c>
      <c r="AG11">
        <f>SUM(AG2:AG5)</f>
        <v>380</v>
      </c>
      <c r="AH11">
        <f>SUM(AH2:AH5)</f>
        <v>171</v>
      </c>
      <c r="AJ11">
        <f>SUM(AJ2:AJ5)</f>
        <v>171</v>
      </c>
      <c r="AK11">
        <f t="shared" ref="AK11:AO11" si="35">SUM(AK2:AK5)</f>
        <v>3</v>
      </c>
      <c r="AL11">
        <f t="shared" si="35"/>
        <v>5</v>
      </c>
      <c r="AM11">
        <f t="shared" si="35"/>
        <v>5</v>
      </c>
      <c r="AN11">
        <f t="shared" si="35"/>
        <v>61</v>
      </c>
      <c r="AO11">
        <f t="shared" si="35"/>
        <v>74</v>
      </c>
      <c r="AP11">
        <f t="shared" ref="AP11:AS11" si="36">SUM(AP2:AP5)</f>
        <v>16</v>
      </c>
      <c r="AQ11">
        <f t="shared" si="36"/>
        <v>9</v>
      </c>
      <c r="AR11">
        <f t="shared" si="36"/>
        <v>4</v>
      </c>
      <c r="AS11">
        <f t="shared" si="36"/>
        <v>79</v>
      </c>
      <c r="AT11">
        <f>SUM(AT2:AT5)</f>
        <v>108</v>
      </c>
      <c r="AU11">
        <f t="shared" ref="AU11:AX11" si="37">SUM(AU2:AU5)</f>
        <v>16</v>
      </c>
      <c r="AV11">
        <f t="shared" si="37"/>
        <v>8</v>
      </c>
      <c r="AW11">
        <f t="shared" si="37"/>
        <v>4</v>
      </c>
      <c r="AX11">
        <f t="shared" si="37"/>
        <v>84</v>
      </c>
      <c r="AY11">
        <f>SUM(AY2:AY5)</f>
        <v>112</v>
      </c>
      <c r="AZ11">
        <f t="shared" ref="AZ11:BC11" si="38">SUM(BA2:BA5)</f>
        <v>9</v>
      </c>
      <c r="BA11">
        <f t="shared" si="38"/>
        <v>4</v>
      </c>
      <c r="BB11">
        <f t="shared" si="38"/>
        <v>102</v>
      </c>
      <c r="BC11">
        <f t="shared" si="38"/>
        <v>135</v>
      </c>
      <c r="BD11">
        <f>SUM(BE2:BE5)</f>
        <v>19</v>
      </c>
      <c r="BE11">
        <f t="shared" ref="BE11:BH11" si="39">SUM(BE2:BE5)</f>
        <v>19</v>
      </c>
      <c r="BF11">
        <f t="shared" si="39"/>
        <v>8</v>
      </c>
      <c r="BG11">
        <f t="shared" si="39"/>
        <v>4</v>
      </c>
      <c r="BH11">
        <f t="shared" si="39"/>
        <v>97</v>
      </c>
      <c r="BI11">
        <f>SUM(BI2:BI5)</f>
        <v>128</v>
      </c>
      <c r="BJ11">
        <f t="shared" ref="BJ11:BM11" si="40">SUM(BJ2:BJ5)</f>
        <v>25</v>
      </c>
      <c r="BK11">
        <f t="shared" si="40"/>
        <v>10</v>
      </c>
      <c r="BL11">
        <f t="shared" si="40"/>
        <v>5</v>
      </c>
      <c r="BM11">
        <f t="shared" si="40"/>
        <v>131</v>
      </c>
      <c r="BN11">
        <f>SUM(BN2:BN5)</f>
        <v>171</v>
      </c>
      <c r="BO11">
        <f t="shared" ref="BO11:BQ11" si="41">SUM(BO2:BO5)</f>
        <v>31</v>
      </c>
      <c r="BP11">
        <f t="shared" ref="BP11:BU11" si="42">SUM(BP2:BP5)</f>
        <v>35</v>
      </c>
      <c r="BQ11">
        <f t="shared" si="42"/>
        <v>37</v>
      </c>
      <c r="BR11">
        <f t="shared" si="42"/>
        <v>44</v>
      </c>
      <c r="BS11">
        <f t="shared" si="42"/>
        <v>40</v>
      </c>
      <c r="BT11">
        <f t="shared" si="42"/>
        <v>56</v>
      </c>
      <c r="BU11">
        <f t="shared" si="42"/>
        <v>22</v>
      </c>
      <c r="BV11">
        <f t="shared" ref="BV11:BZ11" si="43">SUM(BV2:BV5)</f>
        <v>25</v>
      </c>
      <c r="BW11">
        <f t="shared" si="43"/>
        <v>29</v>
      </c>
      <c r="BX11">
        <f t="shared" si="43"/>
        <v>32</v>
      </c>
      <c r="BY11">
        <f t="shared" si="43"/>
        <v>32</v>
      </c>
      <c r="BZ11">
        <f t="shared" si="43"/>
        <v>41</v>
      </c>
    </row>
    <row r="12" spans="1:78" x14ac:dyDescent="0.3">
      <c r="C12" t="s">
        <v>322</v>
      </c>
      <c r="D12">
        <v>0</v>
      </c>
      <c r="E12">
        <f>SUM(E6:E10)</f>
        <v>195</v>
      </c>
      <c r="F12">
        <f>SUM(F6:F10)</f>
        <v>79</v>
      </c>
      <c r="H12">
        <f>SUM(H6:H10)</f>
        <v>74</v>
      </c>
      <c r="J12">
        <f>SUM(J6:J10)</f>
        <v>224</v>
      </c>
      <c r="K12">
        <f>SUM(K6:K10)</f>
        <v>18</v>
      </c>
      <c r="L12">
        <f>SUM(L6:L10)</f>
        <v>24</v>
      </c>
      <c r="M12">
        <f>SUM(M6:M10)</f>
        <v>261</v>
      </c>
      <c r="N12">
        <f>SUM(N6:N10)</f>
        <v>106</v>
      </c>
      <c r="P12">
        <f t="shared" ref="P12" si="44">SUM(P6:P10)</f>
        <v>95</v>
      </c>
      <c r="Q12">
        <f>SUM(Q6:Q10)</f>
        <v>294</v>
      </c>
      <c r="R12">
        <f>SUM(R6:R10)</f>
        <v>119</v>
      </c>
      <c r="T12">
        <f t="shared" ref="T12" si="45">SUM(T6:T10)</f>
        <v>108</v>
      </c>
      <c r="U12">
        <f t="shared" ref="U12:Y12" si="46">SUM(U6:U10)</f>
        <v>305</v>
      </c>
      <c r="V12">
        <f>SUM(V6:V10)</f>
        <v>121</v>
      </c>
      <c r="X12">
        <f>SUM(X6:X10)</f>
        <v>112</v>
      </c>
      <c r="Y12">
        <f t="shared" si="46"/>
        <v>380</v>
      </c>
      <c r="Z12">
        <f>SUM(Z6:Z10)</f>
        <v>151</v>
      </c>
      <c r="AB12">
        <f>SUM(AB6:AB10)</f>
        <v>135</v>
      </c>
      <c r="AC12">
        <f>SUM(AC6:AC10)</f>
        <v>358</v>
      </c>
      <c r="AD12">
        <f>SUM(AD6:AD10)</f>
        <v>146</v>
      </c>
      <c r="AF12">
        <f>SUM(AF6:AF10)</f>
        <v>128</v>
      </c>
      <c r="AG12">
        <f>SUM(AG6:AG10)</f>
        <v>491</v>
      </c>
      <c r="AH12">
        <f>SUM(AH6:AH10)</f>
        <v>201</v>
      </c>
      <c r="AJ12">
        <f>SUM(AJ6:AJ10)</f>
        <v>171</v>
      </c>
      <c r="AK12">
        <f>SUM(AK6:AK10)</f>
        <v>3</v>
      </c>
      <c r="AL12">
        <f t="shared" ref="AL12" si="47">SUM(AL6:AL10)</f>
        <v>5</v>
      </c>
      <c r="AM12">
        <f>SUM(AM6:AM10)</f>
        <v>5</v>
      </c>
      <c r="AN12">
        <f>SUM(AN6:AN10)</f>
        <v>61</v>
      </c>
      <c r="AO12">
        <f t="shared" ref="AO12" si="48">SUM(AO6:AO10)</f>
        <v>74</v>
      </c>
      <c r="AP12">
        <f t="shared" ref="AP12:AT12" si="49">SUM(AP6:AP10)</f>
        <v>16</v>
      </c>
      <c r="AQ12">
        <f t="shared" si="49"/>
        <v>9</v>
      </c>
      <c r="AR12">
        <f t="shared" si="49"/>
        <v>4</v>
      </c>
      <c r="AS12">
        <f t="shared" si="49"/>
        <v>79</v>
      </c>
      <c r="AT12">
        <f t="shared" si="49"/>
        <v>108</v>
      </c>
      <c r="AU12">
        <f t="shared" ref="AU12:AY12" si="50">SUM(AU6:AU10)</f>
        <v>16</v>
      </c>
      <c r="AV12">
        <f t="shared" si="50"/>
        <v>8</v>
      </c>
      <c r="AW12">
        <f t="shared" si="50"/>
        <v>4</v>
      </c>
      <c r="AX12">
        <f t="shared" si="50"/>
        <v>84</v>
      </c>
      <c r="AY12">
        <f t="shared" si="50"/>
        <v>112</v>
      </c>
      <c r="AZ12">
        <f t="shared" ref="AZ12:BC12" si="51">SUM(BA6:BA10)</f>
        <v>9</v>
      </c>
      <c r="BA12">
        <f t="shared" si="51"/>
        <v>4</v>
      </c>
      <c r="BB12">
        <f t="shared" si="51"/>
        <v>102</v>
      </c>
      <c r="BC12">
        <f t="shared" si="51"/>
        <v>135</v>
      </c>
      <c r="BD12">
        <f>SUM(BE6:BE10)</f>
        <v>19</v>
      </c>
      <c r="BE12">
        <f t="shared" ref="BE12:BI12" si="52">SUM(BE6:BE10)</f>
        <v>19</v>
      </c>
      <c r="BF12">
        <f t="shared" si="52"/>
        <v>8</v>
      </c>
      <c r="BG12">
        <f t="shared" si="52"/>
        <v>4</v>
      </c>
      <c r="BH12">
        <f t="shared" si="52"/>
        <v>97</v>
      </c>
      <c r="BI12">
        <f t="shared" si="52"/>
        <v>128</v>
      </c>
      <c r="BJ12">
        <f t="shared" ref="BJ12:BN12" si="53">SUM(BJ6:BJ10)</f>
        <v>25</v>
      </c>
      <c r="BK12">
        <f t="shared" si="53"/>
        <v>10</v>
      </c>
      <c r="BL12">
        <f t="shared" si="53"/>
        <v>5</v>
      </c>
      <c r="BM12">
        <f t="shared" si="53"/>
        <v>131</v>
      </c>
      <c r="BN12">
        <f t="shared" si="53"/>
        <v>171</v>
      </c>
      <c r="BO12">
        <f t="shared" ref="BO12:BQ12" si="54">SUM(BO6:BO10)</f>
        <v>31</v>
      </c>
      <c r="BP12">
        <f t="shared" ref="BP12:BU12" si="55">SUM(BP6:BP10)</f>
        <v>35</v>
      </c>
      <c r="BQ12">
        <f t="shared" si="55"/>
        <v>37</v>
      </c>
      <c r="BR12">
        <f t="shared" si="55"/>
        <v>44</v>
      </c>
      <c r="BS12">
        <f t="shared" si="55"/>
        <v>40</v>
      </c>
      <c r="BT12">
        <f t="shared" si="55"/>
        <v>56</v>
      </c>
      <c r="BU12">
        <f t="shared" si="55"/>
        <v>22</v>
      </c>
      <c r="BV12">
        <f t="shared" ref="BV12:BZ12" si="56">SUM(BV6:BV10)</f>
        <v>25</v>
      </c>
      <c r="BW12">
        <f t="shared" si="56"/>
        <v>29</v>
      </c>
      <c r="BX12">
        <f t="shared" si="56"/>
        <v>32</v>
      </c>
      <c r="BY12">
        <f t="shared" si="56"/>
        <v>32</v>
      </c>
      <c r="BZ12">
        <f t="shared" si="56"/>
        <v>41</v>
      </c>
    </row>
    <row r="14" spans="1:78" x14ac:dyDescent="0.3">
      <c r="N14" t="s">
        <v>55</v>
      </c>
      <c r="V14" t="s">
        <v>55</v>
      </c>
    </row>
    <row r="17" spans="3:80" x14ac:dyDescent="0.3">
      <c r="C17" t="s">
        <v>55</v>
      </c>
      <c r="M17" t="s">
        <v>55</v>
      </c>
      <c r="T17" t="s">
        <v>55</v>
      </c>
    </row>
    <row r="18" spans="3:80" x14ac:dyDescent="0.3">
      <c r="L18" t="s">
        <v>55</v>
      </c>
      <c r="CB18" t="s">
        <v>55</v>
      </c>
    </row>
    <row r="19" spans="3:80" x14ac:dyDescent="0.3">
      <c r="N19" t="s">
        <v>55</v>
      </c>
    </row>
    <row r="20" spans="3:80" x14ac:dyDescent="0.3">
      <c r="AI20" t="s">
        <v>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Nodes</vt:lpstr>
      <vt:lpstr>Edges</vt:lpstr>
      <vt:lpstr>Edges_night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Emile Wouters</dc:creator>
  <cp:lastModifiedBy>Emile Wouters</cp:lastModifiedBy>
  <dcterms:created xsi:type="dcterms:W3CDTF">2026-05-21T12:48:03Z</dcterms:created>
  <dcterms:modified xsi:type="dcterms:W3CDTF">2026-07-07T01:20:38Z</dcterms:modified>
</cp:coreProperties>
</file>